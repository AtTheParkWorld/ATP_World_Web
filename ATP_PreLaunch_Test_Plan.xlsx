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redy" sheetId="2" state="visible" r:id="rId2"/>
    <sheet xmlns:r="http://schemas.openxmlformats.org/officeDocument/2006/relationships" name="Taty" sheetId="3" state="visible" r:id="rId3"/>
    <sheet xmlns:r="http://schemas.openxmlformats.org/officeDocument/2006/relationships" name="Alex" sheetId="4" state="visible" r:id="rId4"/>
    <sheet xmlns:r="http://schemas.openxmlformats.org/officeDocument/2006/relationships" name="Doha" sheetId="5" state="visible" r:id="rId5"/>
    <sheet xmlns:r="http://schemas.openxmlformats.org/officeDocument/2006/relationships" name="Jay" sheetId="6" state="visible" r:id="rId6"/>
    <sheet xmlns:r="http://schemas.openxmlformats.org/officeDocument/2006/relationships" name="Summary" sheetId="7" state="visible" r:id="rId7"/>
  </sheets>
  <definedNames>
    <definedName name="_xlnm._FilterDatabase" localSheetId="1" hidden="1">'Fredy'!$A$4:$I$25</definedName>
    <definedName name="_xlnm._FilterDatabase" localSheetId="2" hidden="1">'Taty'!$A$4:$I$25</definedName>
    <definedName name="_xlnm._FilterDatabase" localSheetId="3" hidden="1">'Alex'!$A$4:$I$25</definedName>
    <definedName name="_xlnm._FilterDatabase" localSheetId="4" hidden="1">'Doha'!$A$4:$I$25</definedName>
    <definedName name="_xlnm._FilterDatabase" localSheetId="5" hidden="1">'Jay'!$A$4:$I$25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0A0A0A"/>
      <sz val="18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0A0A0A"/>
      <sz val="20"/>
    </font>
    <font>
      <name val="Arial"/>
      <b val="1"/>
      <color rgb="000A0A0A"/>
      <sz val="13"/>
    </font>
  </fonts>
  <fills count="8">
    <fill>
      <patternFill/>
    </fill>
    <fill>
      <patternFill patternType="gray125"/>
    </fill>
    <fill>
      <patternFill patternType="solid">
        <fgColor rgb="005A8C00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0A0A0A"/>
      </patternFill>
    </fill>
    <fill>
      <patternFill patternType="solid">
        <fgColor rgb="00DCEDC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3" fillId="6" borderId="0" pivotButton="0" quotePrefix="0" xfId="0"/>
    <xf numFmtId="0" fontId="3" fillId="6" borderId="1" applyAlignment="1" pivotButton="0" quotePrefix="0" xfId="0">
      <alignment horizontal="center" vertical="center"/>
    </xf>
    <xf numFmtId="164" fontId="3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ill>
        <patternFill patternType="solid">
          <fgColor rgb="00C8E6C9"/>
        </patternFill>
      </fill>
    </dxf>
    <dxf>
      <fill>
        <patternFill patternType="solid">
          <fgColor rgb="00FFCDD2"/>
        </patternFill>
      </fill>
    </dxf>
    <dxf>
      <fill>
        <patternFill patternType="solid">
          <fgColor rgb="00FFE0B2"/>
        </patternFill>
      </fill>
    </dxf>
    <dxf>
      <fill>
        <patternFill patternType="solid">
          <fgColor rgb="00DCEDC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ATP — Pre-Launch Test Plan</t>
        </is>
      </c>
    </row>
    <row r="2">
      <c r="A2" s="2" t="inlineStr">
        <is>
          <t>Coverage check before going live. ~21 tests per team member, ~105 total.</t>
        </is>
      </c>
    </row>
    <row r="4">
      <c r="A4" s="3" t="inlineStr">
        <is>
          <t>How to use this workbook</t>
        </is>
      </c>
    </row>
    <row r="5">
      <c r="A5" s="4" t="inlineStr">
        <is>
          <t>1. Open the sheet with your name.</t>
        </is>
      </c>
    </row>
    <row r="6">
      <c r="A6" s="4" t="inlineStr">
        <is>
          <t>2. Walk each test in order. Use the Steps + Expected Result columns.</t>
        </is>
      </c>
    </row>
    <row r="7">
      <c r="A7" s="4" t="inlineStr">
        <is>
          <t>3. Set Status (Pass / Fail / Blocked / N/A). Cells colour-code automatically.</t>
        </is>
      </c>
    </row>
    <row r="8">
      <c r="A8" s="4" t="inlineStr">
        <is>
          <t>4. If you fail or block a test, write what you saw in Notes + which Browser/Device.</t>
        </is>
      </c>
    </row>
    <row r="9">
      <c r="A9" s="4" t="inlineStr">
        <is>
          <t>5. Filter by Status to retest after a fix lands.</t>
        </is>
      </c>
    </row>
    <row r="10">
      <c r="A10" s="4" t="inlineStr">
        <is>
          <t>6. Check the Summary sheet to see overall pass rate by owner.</t>
        </is>
      </c>
    </row>
    <row r="13">
      <c r="A13" s="3" t="inlineStr">
        <is>
          <t>Priority key</t>
        </is>
      </c>
    </row>
    <row r="14">
      <c r="A14" s="5" t="inlineStr">
        <is>
          <t>P0</t>
        </is>
      </c>
      <c r="B14" s="4" t="inlineStr">
        <is>
          <t>Critical. Must work before launch. Block ship if Fail.</t>
        </is>
      </c>
    </row>
    <row r="15">
      <c r="A15" s="5" t="inlineStr">
        <is>
          <t>P1</t>
        </is>
      </c>
      <c r="B15" s="4" t="inlineStr">
        <is>
          <t>High. Should work. A handful of P1 fails is acceptable if shipped with a clear known-issue list.</t>
        </is>
      </c>
    </row>
    <row r="16">
      <c r="A16" s="5" t="inlineStr">
        <is>
          <t>P2</t>
        </is>
      </c>
      <c r="B16" s="4" t="inlineStr">
        <is>
          <t>Nice-to-have polish. Track for post-launch.</t>
        </is>
      </c>
    </row>
    <row r="19">
      <c r="A19" s="3" t="inlineStr">
        <is>
          <t>Status legend</t>
        </is>
      </c>
    </row>
    <row r="20">
      <c r="A20" s="5" t="inlineStr">
        <is>
          <t>Not Tested</t>
        </is>
      </c>
      <c r="B20" s="4" t="inlineStr">
        <is>
          <t>Default. Hasn't been walked yet.</t>
        </is>
      </c>
    </row>
    <row r="21">
      <c r="A21" s="6" t="inlineStr">
        <is>
          <t>Pass</t>
        </is>
      </c>
      <c r="B21" s="4" t="inlineStr">
        <is>
          <t>Behaviour matches expected result exactly.</t>
        </is>
      </c>
    </row>
    <row r="22">
      <c r="A22" s="7" t="inlineStr">
        <is>
          <t>Fail</t>
        </is>
      </c>
      <c r="B22" s="4" t="inlineStr">
        <is>
          <t>Behaviour does NOT match. Write what you saw in Notes.</t>
        </is>
      </c>
    </row>
    <row r="23">
      <c r="A23" s="8" t="inlineStr">
        <is>
          <t>Blocked</t>
        </is>
      </c>
      <c r="B23" s="4" t="inlineStr">
        <is>
          <t>Could not test (data missing, backend down, dependency stuck).</t>
        </is>
      </c>
    </row>
    <row r="24">
      <c r="A24" s="5" t="inlineStr">
        <is>
          <t>N/A</t>
        </is>
      </c>
      <c r="B24" s="4" t="inlineStr">
        <is>
          <t>Test doesn't apply (e.g. ambassador test on a non-ambassador account).</t>
        </is>
      </c>
    </row>
    <row r="26">
      <c r="A26" s="3" t="inlineStr">
        <is>
          <t>Owner focus areas</t>
        </is>
      </c>
    </row>
    <row r="27">
      <c r="A27" s="5" t="inlineStr">
        <is>
          <t>Fredy</t>
        </is>
      </c>
      <c r="B27" s="4" t="inlineStr">
        <is>
          <t>Auth + Profile — login/logout, magic-link reset, avatar, tribe nudge, friend-request badges.</t>
        </is>
      </c>
    </row>
    <row r="28">
      <c r="A28" s="5" t="inlineStr">
        <is>
          <t>Taty</t>
        </is>
      </c>
      <c r="B28" s="4" t="inlineStr">
        <is>
          <t>Community feed — posts, images/videos, like/compose, tribe filter, feedback widget, social/block.</t>
        </is>
      </c>
    </row>
    <row r="29">
      <c r="A29" s="5" t="inlineStr">
        <is>
          <t>Alex</t>
        </is>
      </c>
      <c r="B29" s="4" t="inlineStr">
        <is>
          <t>Sessions — compact hero, calendar default, hover popover, filters, booking + QR + cancel.</t>
        </is>
      </c>
    </row>
    <row r="30">
      <c r="A30" s="5" t="inlineStr">
        <is>
          <t>Doha</t>
        </is>
      </c>
      <c r="B30" s="4" t="inlineStr">
        <is>
          <t>Rewards + Store + Referrals + Ambassador — points, redemption, code share, scanner.</t>
        </is>
      </c>
    </row>
    <row r="31">
      <c r="A31" s="5" t="inlineStr">
        <is>
          <t>Jay</t>
        </is>
      </c>
      <c r="B31" s="4" t="inlineStr">
        <is>
          <t>Cross-cutting — mobile responsive, cross-browser, performance, coaches, admin, 404, blog.</t>
        </is>
      </c>
    </row>
  </sheetData>
  <mergeCells count="21">
    <mergeCell ref="B30:E30"/>
    <mergeCell ref="B15:E15"/>
    <mergeCell ref="A1:E1"/>
    <mergeCell ref="B24:E24"/>
    <mergeCell ref="B20:E20"/>
    <mergeCell ref="A6:E6"/>
    <mergeCell ref="A7:E7"/>
    <mergeCell ref="B16:E16"/>
    <mergeCell ref="B22:E22"/>
    <mergeCell ref="B31:E31"/>
    <mergeCell ref="B27:E27"/>
    <mergeCell ref="A2:E2"/>
    <mergeCell ref="B21:E21"/>
    <mergeCell ref="A5:E5"/>
    <mergeCell ref="A8:E8"/>
    <mergeCell ref="B14:E14"/>
    <mergeCell ref="B23:E23"/>
    <mergeCell ref="A10:E10"/>
    <mergeCell ref="B29:E29"/>
    <mergeCell ref="B28:E28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6" customWidth="1" min="3" max="3"/>
    <col width="38" customWidth="1" min="4" max="4"/>
    <col width="56" customWidth="1" min="5" max="5"/>
    <col width="46" customWidth="1" min="6" max="6"/>
    <col width="13" customWidth="1" min="7" max="7"/>
    <col width="16" customWidth="1" min="8" max="8"/>
    <col width="36" customWidth="1" min="9" max="9"/>
  </cols>
  <sheetData>
    <row r="1" ht="26" customHeight="1">
      <c r="A1" s="9" t="inlineStr">
        <is>
          <t>ATP Pre-Launch Tests — Fredy</t>
        </is>
      </c>
    </row>
    <row r="2" ht="16" customHeight="1">
      <c r="A2" s="2" t="inlineStr">
        <is>
          <t>Walk each row, set Status, leave Notes if Fail/Blocked. Filter the Status column when retesting.</t>
        </is>
      </c>
    </row>
    <row r="4" ht="32" customHeight="1">
      <c r="A4" s="10" t="inlineStr">
        <is>
          <t>Test ID</t>
        </is>
      </c>
      <c r="B4" s="10" t="inlineStr">
        <is>
          <t>Priority</t>
        </is>
      </c>
      <c r="C4" s="10" t="inlineStr">
        <is>
          <t>Area</t>
        </is>
      </c>
      <c r="D4" s="10" t="inlineStr">
        <is>
          <t>Title</t>
        </is>
      </c>
      <c r="E4" s="10" t="inlineStr">
        <is>
          <t>Steps to reproduce</t>
        </is>
      </c>
      <c r="F4" s="10" t="inlineStr">
        <is>
          <t>Expected result</t>
        </is>
      </c>
      <c r="G4" s="10" t="inlineStr">
        <is>
          <t>Status</t>
        </is>
      </c>
      <c r="H4" s="10" t="inlineStr">
        <is>
          <t>Browser / Device</t>
        </is>
      </c>
      <c r="I4" s="10" t="inlineStr">
        <is>
          <t>Notes</t>
        </is>
      </c>
    </row>
    <row r="5" ht="48" customHeight="1">
      <c r="A5" s="11" t="inlineStr">
        <is>
          <t>F-001</t>
        </is>
      </c>
      <c r="B5" s="11" t="inlineStr">
        <is>
          <t>P0</t>
        </is>
      </c>
      <c r="C5" s="12" t="inlineStr">
        <is>
          <t>Auth</t>
        </is>
      </c>
      <c r="D5" s="13" t="inlineStr">
        <is>
          <t>Email + password login from index</t>
        </is>
      </c>
      <c r="E5" s="14" t="inlineStr">
        <is>
          <t>1. Open homepage in private window  2. Click 'Log in' (top right)  3. Enter valid email + password  4. Submit</t>
        </is>
      </c>
      <c r="F5" s="14" t="inlineStr">
        <is>
          <t>Modal closes, top-right shows first name + avatar, nav buttons swap to logged-in chrome</t>
        </is>
      </c>
      <c r="G5" s="12" t="inlineStr">
        <is>
          <t>Not Tested</t>
        </is>
      </c>
      <c r="H5" s="12" t="inlineStr"/>
      <c r="I5" s="14" t="inlineStr"/>
    </row>
    <row r="6" ht="48" customHeight="1">
      <c r="A6" s="11" t="inlineStr">
        <is>
          <t>F-002</t>
        </is>
      </c>
      <c r="B6" s="11" t="inlineStr">
        <is>
          <t>P0</t>
        </is>
      </c>
      <c r="C6" s="12" t="inlineStr">
        <is>
          <t>Auth</t>
        </is>
      </c>
      <c r="D6" s="13" t="inlineStr">
        <is>
          <t>Logout from index clears token</t>
        </is>
      </c>
      <c r="E6" s="14" t="inlineStr">
        <is>
          <t>1. Logged in on homepage  2. Click 'Log out' (top-right)</t>
        </is>
      </c>
      <c r="F6" s="14" t="inlineStr">
        <is>
          <t>Top-right swaps back to 'Log in / Join free'. Refresh page: still logged out. Token + member cleared from localStorage</t>
        </is>
      </c>
      <c r="G6" s="12" t="inlineStr">
        <is>
          <t>Not Tested</t>
        </is>
      </c>
      <c r="H6" s="12" t="inlineStr"/>
      <c r="I6" s="14" t="inlineStr"/>
    </row>
    <row r="7" ht="48" customHeight="1">
      <c r="A7" s="11" t="inlineStr">
        <is>
          <t>F-003</t>
        </is>
      </c>
      <c r="B7" s="11" t="inlineStr">
        <is>
          <t>P0</t>
        </is>
      </c>
      <c r="C7" s="12" t="inlineStr">
        <is>
          <t>Auth</t>
        </is>
      </c>
      <c r="D7" s="13" t="inlineStr">
        <is>
          <t>Logout from profile redirects to index</t>
        </is>
      </c>
      <c r="E7" s="14" t="inlineStr">
        <is>
          <t>1. Open /profile.html while logged in  2. Click 'Log out' on the nav user card</t>
        </is>
      </c>
      <c r="F7" s="14" t="inlineStr">
        <is>
          <t>Page hard-redirects to /index.html. Token + cached member cleared. Refresh: still logged out</t>
        </is>
      </c>
      <c r="G7" s="12" t="inlineStr">
        <is>
          <t>Not Tested</t>
        </is>
      </c>
      <c r="H7" s="12" t="inlineStr"/>
      <c r="I7" s="14" t="inlineStr"/>
    </row>
    <row r="8" ht="48" customHeight="1">
      <c r="A8" s="11" t="inlineStr">
        <is>
          <t>F-004</t>
        </is>
      </c>
      <c r="B8" s="11" t="inlineStr">
        <is>
          <t>P0</t>
        </is>
      </c>
      <c r="C8" s="12" t="inlineStr">
        <is>
          <t>Auth</t>
        </is>
      </c>
      <c r="D8" s="13" t="inlineStr">
        <is>
          <t>Login again after logout works (no stale token)</t>
        </is>
      </c>
      <c r="E8" s="14" t="inlineStr">
        <is>
          <t>1. Log out  2. Immediately click 'Log in' again  3. Enter same email + password  4. Submit</t>
        </is>
      </c>
      <c r="F8" s="14" t="inlineStr">
        <is>
          <t>Modal opens, accepts credentials, logs in cleanly (no 'modal does nothing' silent failure)</t>
        </is>
      </c>
      <c r="G8" s="12" t="inlineStr">
        <is>
          <t>Not Tested</t>
        </is>
      </c>
      <c r="H8" s="12" t="inlineStr"/>
      <c r="I8" s="14" t="inlineStr"/>
    </row>
    <row r="9" ht="48" customHeight="1">
      <c r="A9" s="11" t="inlineStr">
        <is>
          <t>F-005</t>
        </is>
      </c>
      <c r="B9" s="11" t="inlineStr">
        <is>
          <t>P0</t>
        </is>
      </c>
      <c r="C9" s="12" t="inlineStr">
        <is>
          <t>Auth</t>
        </is>
      </c>
      <c r="D9" s="13" t="inlineStr">
        <is>
          <t>Forgot password link visible in login modal</t>
        </is>
      </c>
      <c r="E9" s="14" t="inlineStr">
        <is>
          <t>1. Open login modal (top-right Log in)  2. Scan below the password field</t>
        </is>
      </c>
      <c r="F9" s="14" t="inlineStr">
        <is>
          <t>'Forgot your password?' link is visible, underlined, muted-grey. Hidden on the signup variant of the modal</t>
        </is>
      </c>
      <c r="G9" s="12" t="inlineStr">
        <is>
          <t>Not Tested</t>
        </is>
      </c>
      <c r="H9" s="12" t="inlineStr"/>
      <c r="I9" s="14" t="inlineStr"/>
    </row>
    <row r="10" ht="48" customHeight="1">
      <c r="A10" s="11" t="inlineStr">
        <is>
          <t>F-006</t>
        </is>
      </c>
      <c r="B10" s="11" t="inlineStr">
        <is>
          <t>P0</t>
        </is>
      </c>
      <c r="C10" s="12" t="inlineStr">
        <is>
          <t>Auth</t>
        </is>
      </c>
      <c r="D10" s="13" t="inlineStr">
        <is>
          <t>Forgot password → email field appears</t>
        </is>
      </c>
      <c r="E10" s="14" t="inlineStr">
        <is>
          <t>1. Click 'Forgot your password?' inside the login modal</t>
        </is>
      </c>
      <c r="F10" s="14" t="inlineStr">
        <is>
          <t>Form swaps to a single email input + 'Send sign-in link' button + '← Back to login' link</t>
        </is>
      </c>
      <c r="G10" s="12" t="inlineStr">
        <is>
          <t>Not Tested</t>
        </is>
      </c>
      <c r="H10" s="12" t="inlineStr"/>
      <c r="I10" s="14" t="inlineStr"/>
    </row>
    <row r="11" ht="48" customHeight="1">
      <c r="A11" s="11" t="inlineStr">
        <is>
          <t>F-007</t>
        </is>
      </c>
      <c r="B11" s="11" t="inlineStr">
        <is>
          <t>P0</t>
        </is>
      </c>
      <c r="C11" s="12" t="inlineStr">
        <is>
          <t>Auth</t>
        </is>
      </c>
      <c r="D11" s="13" t="inlineStr">
        <is>
          <t>Magic link email arrives within 60 s</t>
        </is>
      </c>
      <c r="E11" s="14" t="inlineStr">
        <is>
          <t>1. Submit a valid email in the forgot-password flow  2. Open the inbox of that address</t>
        </is>
      </c>
      <c r="F11" s="14" t="inlineStr">
        <is>
          <t>Email arrives within 60 seconds. From: At The Park. Contains a magic-link button. Link points at /auth/verify?token=…&amp;email=…</t>
        </is>
      </c>
      <c r="G11" s="12" t="inlineStr">
        <is>
          <t>Not Tested</t>
        </is>
      </c>
      <c r="H11" s="12" t="inlineStr"/>
      <c r="I11" s="14" t="inlineStr"/>
    </row>
    <row r="12" ht="48" customHeight="1">
      <c r="A12" s="11" t="inlineStr">
        <is>
          <t>F-008</t>
        </is>
      </c>
      <c r="B12" s="11" t="inlineStr">
        <is>
          <t>P0</t>
        </is>
      </c>
      <c r="C12" s="12" t="inlineStr">
        <is>
          <t>Auth</t>
        </is>
      </c>
      <c r="D12" s="13" t="inlineStr">
        <is>
          <t>Magic link click shows 'Set a new password?' prompt</t>
        </is>
      </c>
      <c r="E12" s="14" t="inlineStr">
        <is>
          <t>1. Click the magic link in the email</t>
        </is>
      </c>
      <c r="F12" s="14" t="inlineStr">
        <is>
          <t>Lands on /auth/verify, says 'You're in', then reveals 'Would you like to set a new password?' with Set / Skip buttons</t>
        </is>
      </c>
      <c r="G12" s="12" t="inlineStr">
        <is>
          <t>Not Tested</t>
        </is>
      </c>
      <c r="H12" s="12" t="inlineStr"/>
      <c r="I12" s="14" t="inlineStr"/>
    </row>
    <row r="13" ht="48" customHeight="1">
      <c r="A13" s="11" t="inlineStr">
        <is>
          <t>F-009</t>
        </is>
      </c>
      <c r="B13" s="11" t="inlineStr">
        <is>
          <t>P1</t>
        </is>
      </c>
      <c r="C13" s="12" t="inlineStr">
        <is>
          <t>Auth</t>
        </is>
      </c>
      <c r="D13" s="13" t="inlineStr">
        <is>
          <t>Set new password form (no current password required)</t>
        </is>
      </c>
      <c r="E13" s="14" t="inlineStr">
        <is>
          <t>1. From the prompt above, click 'Set a password'  2. Enter a 8+ char password  3. Submit</t>
        </is>
      </c>
      <c r="F13" s="14" t="inlineStr">
        <is>
          <t>Saves without asking for the old password (magic-link grace), then redirects to /profile.html</t>
        </is>
      </c>
      <c r="G13" s="12" t="inlineStr">
        <is>
          <t>Not Tested</t>
        </is>
      </c>
      <c r="H13" s="12" t="inlineStr"/>
      <c r="I13" s="14" t="inlineStr"/>
    </row>
    <row r="14" ht="48" customHeight="1">
      <c r="A14" s="11" t="inlineStr">
        <is>
          <t>F-010</t>
        </is>
      </c>
      <c r="B14" s="11" t="inlineStr">
        <is>
          <t>P1</t>
        </is>
      </c>
      <c r="C14" s="12" t="inlineStr">
        <is>
          <t>Auth</t>
        </is>
      </c>
      <c r="D14" s="13" t="inlineStr">
        <is>
          <t>Skip jumps straight to profile</t>
        </is>
      </c>
      <c r="E14" s="14" t="inlineStr">
        <is>
          <t>1. From the prompt above, click 'Skip for now'</t>
        </is>
      </c>
      <c r="F14" s="14" t="inlineStr">
        <is>
          <t>Redirects to /profile.html. No password change persisted. Member remains logged in</t>
        </is>
      </c>
      <c r="G14" s="12" t="inlineStr">
        <is>
          <t>Not Tested</t>
        </is>
      </c>
      <c r="H14" s="12" t="inlineStr"/>
      <c r="I14" s="14" t="inlineStr"/>
    </row>
    <row r="15" ht="48" customHeight="1">
      <c r="A15" s="11" t="inlineStr">
        <is>
          <t>F-011</t>
        </is>
      </c>
      <c r="B15" s="11" t="inlineStr">
        <is>
          <t>P0</t>
        </is>
      </c>
      <c r="C15" s="12" t="inlineStr">
        <is>
          <t>Profile</t>
        </is>
      </c>
      <c r="D15" s="13" t="inlineStr">
        <is>
          <t>Top-right nav shows first name (not 'Member')</t>
        </is>
      </c>
      <c r="E15" s="14" t="inlineStr">
        <is>
          <t>1. Log in  2. Open any page (index, sessions, profile)  3. Look at top-right nav</t>
        </is>
      </c>
      <c r="F15" s="14" t="inlineStr">
        <is>
          <t>Shows the member's actual first name (e.g. 'Frederico') + initials. Never the fallback string 'Member'</t>
        </is>
      </c>
      <c r="G15" s="12" t="inlineStr">
        <is>
          <t>Not Tested</t>
        </is>
      </c>
      <c r="H15" s="12" t="inlineStr"/>
      <c r="I15" s="14" t="inlineStr"/>
    </row>
    <row r="16" ht="48" customHeight="1">
      <c r="A16" s="11" t="inlineStr">
        <is>
          <t>F-012</t>
        </is>
      </c>
      <c r="B16" s="11" t="inlineStr">
        <is>
          <t>P0</t>
        </is>
      </c>
      <c r="C16" s="12" t="inlineStr">
        <is>
          <t>Profile</t>
        </is>
      </c>
      <c r="D16" s="13" t="inlineStr">
        <is>
          <t>Uploaded avatar shows everywhere</t>
        </is>
      </c>
      <c r="E16" s="14" t="inlineStr">
        <is>
          <t>1. Upload a profile photo via /profile.html → Edit Profile → Change photo  2. Refresh  3. Open /profile, /community, /index</t>
        </is>
      </c>
      <c r="F16" s="14" t="inlineStr">
        <is>
          <t>Photo is visible on profile hero, top-right nav avatar, comments author chips, leaderboard rows. Never the gradient-initials placeholder once an upload exists</t>
        </is>
      </c>
      <c r="G16" s="12" t="inlineStr">
        <is>
          <t>Not Tested</t>
        </is>
      </c>
      <c r="H16" s="12" t="inlineStr"/>
      <c r="I16" s="14" t="inlineStr"/>
    </row>
    <row r="17" ht="48" customHeight="1">
      <c r="A17" s="11" t="inlineStr">
        <is>
          <t>F-013</t>
        </is>
      </c>
      <c r="B17" s="11" t="inlineStr">
        <is>
          <t>P0</t>
        </is>
      </c>
      <c r="C17" s="12" t="inlineStr">
        <is>
          <t>Profile</t>
        </is>
      </c>
      <c r="D17" s="13" t="inlineStr">
        <is>
          <t>Edit Profile opens the form</t>
        </is>
      </c>
      <c r="E17" s="14" t="inlineStr">
        <is>
          <t>1. Click 'Edit Profile' button on hero</t>
        </is>
      </c>
      <c r="F17" s="14" t="inlineStr">
        <is>
          <t>Opens /profile/edit with all fields pre-filled from current profile data</t>
        </is>
      </c>
      <c r="G17" s="12" t="inlineStr">
        <is>
          <t>Not Tested</t>
        </is>
      </c>
      <c r="H17" s="12" t="inlineStr"/>
      <c r="I17" s="14" t="inlineStr"/>
    </row>
    <row r="18" ht="48" customHeight="1">
      <c r="A18" s="11" t="inlineStr">
        <is>
          <t>F-014</t>
        </is>
      </c>
      <c r="B18" s="11" t="inlineStr">
        <is>
          <t>P0</t>
        </is>
      </c>
      <c r="C18" s="12" t="inlineStr">
        <is>
          <t>Profile</t>
        </is>
      </c>
      <c r="D18" s="13" t="inlineStr">
        <is>
          <t>Profile picture upload flow</t>
        </is>
      </c>
      <c r="E18" s="14" t="inlineStr">
        <is>
          <t>1. Open /profile/edit  2. Tap the avatar OR 'Change photo' button  3. Pick an image  4. Wait for save</t>
        </is>
      </c>
      <c r="F18" s="14" t="inlineStr">
        <is>
          <t>Picker opens. After selecting, button says 'Uploading…' then placeholder updates to the new photo. Refresh: persists. Avatar swaps everywhere on next render</t>
        </is>
      </c>
      <c r="G18" s="12" t="inlineStr">
        <is>
          <t>Not Tested</t>
        </is>
      </c>
      <c r="H18" s="12" t="inlineStr"/>
      <c r="I18" s="14" t="inlineStr"/>
    </row>
    <row r="19" ht="48" customHeight="1">
      <c r="A19" s="11" t="inlineStr">
        <is>
          <t>F-015</t>
        </is>
      </c>
      <c r="B19" s="11" t="inlineStr">
        <is>
          <t>P0</t>
        </is>
      </c>
      <c r="C19" s="12" t="inlineStr">
        <is>
          <t>Profile</t>
        </is>
      </c>
      <c r="D19" s="13" t="inlineStr">
        <is>
          <t>Save profile updates persist</t>
        </is>
      </c>
      <c r="E19" s="14" t="inlineStr">
        <is>
          <t>1. Edit first name, phone, DOB, top/bottom size, padel level  2. Click Save  3. Refresh</t>
        </is>
      </c>
      <c r="F19" s="14" t="inlineStr">
        <is>
          <t>Save button shows 'Saving…' then form closes. All edited fields persist after refresh</t>
        </is>
      </c>
      <c r="G19" s="12" t="inlineStr">
        <is>
          <t>Not Tested</t>
        </is>
      </c>
      <c r="H19" s="12" t="inlineStr"/>
      <c r="I19" s="14" t="inlineStr"/>
    </row>
    <row r="20" ht="48" customHeight="1">
      <c r="A20" s="11" t="inlineStr">
        <is>
          <t>F-016</t>
        </is>
      </c>
      <c r="B20" s="11" t="inlineStr">
        <is>
          <t>P1</t>
        </is>
      </c>
      <c r="C20" s="12" t="inlineStr">
        <is>
          <t>Profile</t>
        </is>
      </c>
      <c r="D20" s="13" t="inlineStr">
        <is>
          <t>Tribe nudge shows when no tribe set</t>
        </is>
      </c>
      <c r="E20" s="14" t="inlineStr">
        <is>
          <t>1. Make sure member has no tribe (admin: clear tribe_id in DB if needed)  2. Open /profile.html</t>
        </is>
      </c>
      <c r="F20" s="14" t="inlineStr">
        <is>
          <t>'Pick your tribe' banner is visible BELOW the profile completion bar (never on top of the avatar)</t>
        </is>
      </c>
      <c r="G20" s="12" t="inlineStr">
        <is>
          <t>Not Tested</t>
        </is>
      </c>
      <c r="H20" s="12" t="inlineStr"/>
      <c r="I20" s="14" t="inlineStr"/>
    </row>
    <row r="21" ht="48" customHeight="1">
      <c r="A21" s="11" t="inlineStr">
        <is>
          <t>F-017</t>
        </is>
      </c>
      <c r="B21" s="11" t="inlineStr">
        <is>
          <t>P1</t>
        </is>
      </c>
      <c r="C21" s="12" t="inlineStr">
        <is>
          <t>Profile</t>
        </is>
      </c>
      <c r="D21" s="13" t="inlineStr">
        <is>
          <t>Pick a tribe → hero shows badge + nudge disappears</t>
        </is>
      </c>
      <c r="E21" s="14" t="inlineStr">
        <is>
          <t>1. Tribe nudge visible  2. Click 'Pick a tribe →'  3. Select Stronger (or any)  4. Save</t>
        </is>
      </c>
      <c r="F21" s="14" t="inlineStr">
        <is>
          <t>Hero shows tribe pill in tribe colour, nudge banner disappears, member.tribe_id persists</t>
        </is>
      </c>
      <c r="G21" s="12" t="inlineStr">
        <is>
          <t>Not Tested</t>
        </is>
      </c>
      <c r="H21" s="12" t="inlineStr"/>
      <c r="I21" s="14" t="inlineStr"/>
    </row>
    <row r="22" ht="48" customHeight="1">
      <c r="A22" s="11" t="inlineStr">
        <is>
          <t>F-018</t>
        </is>
      </c>
      <c r="B22" s="11" t="inlineStr">
        <is>
          <t>P1</t>
        </is>
      </c>
      <c r="C22" s="12" t="inlineStr">
        <is>
          <t>Profile</t>
        </is>
      </c>
      <c r="D22" s="13" t="inlineStr">
        <is>
          <t>Profile completion % updates</t>
        </is>
      </c>
      <c r="E22" s="14" t="inlineStr">
        <is>
          <t>1. Note current % (e.g. 47%)  2. Edit profile → fill one missing field → Save  3. Reload</t>
        </is>
      </c>
      <c r="F22" s="14" t="inlineStr">
        <is>
          <t>Completion bar % increases. 'X of 15 fields' goes up by 1. Bar width animates smoothly</t>
        </is>
      </c>
      <c r="G22" s="12" t="inlineStr">
        <is>
          <t>Not Tested</t>
        </is>
      </c>
      <c r="H22" s="12" t="inlineStr"/>
      <c r="I22" s="14" t="inlineStr"/>
    </row>
    <row r="23" ht="48" customHeight="1">
      <c r="A23" s="11" t="inlineStr">
        <is>
          <t>F-019</t>
        </is>
      </c>
      <c r="B23" s="11" t="inlineStr">
        <is>
          <t>P1</t>
        </is>
      </c>
      <c r="C23" s="12" t="inlineStr">
        <is>
          <t>Profile</t>
        </is>
      </c>
      <c r="D23" s="13" t="inlineStr">
        <is>
          <t>Tribe nudge no longer overlaps the avatar</t>
        </is>
      </c>
      <c r="E23" s="14" t="inlineStr">
        <is>
          <t>1. Open /profile.html with no tribe set  2. Scroll to top</t>
        </is>
      </c>
      <c r="F23" s="14" t="inlineStr">
        <is>
          <t>Avatar circle (FM in green) sits free of any banner. Tribe nudge sits below the completion bar, fully readable</t>
        </is>
      </c>
      <c r="G23" s="12" t="inlineStr">
        <is>
          <t>Not Tested</t>
        </is>
      </c>
      <c r="H23" s="12" t="inlineStr"/>
      <c r="I23" s="14" t="inlineStr"/>
    </row>
    <row r="24" ht="48" customHeight="1">
      <c r="A24" s="11" t="inlineStr">
        <is>
          <t>F-020</t>
        </is>
      </c>
      <c r="B24" s="11" t="inlineStr">
        <is>
          <t>P0</t>
        </is>
      </c>
      <c r="C24" s="12" t="inlineStr">
        <is>
          <t>Profile</t>
        </is>
      </c>
      <c r="D24" s="13" t="inlineStr">
        <is>
          <t>Friend Requests badge shows real count</t>
        </is>
      </c>
      <c r="E24" s="14" t="inlineStr">
        <is>
          <t>1. Ensure 0 pending friend requests in your inbox  2. Open /profile.html → Friends tab</t>
        </is>
      </c>
      <c r="F24" s="14" t="inlineStr">
        <is>
          <t>'Friend Requests' widget shows NO 'X pending' badge (hides at 0). 'No pending requests' empty state visible. Not the old hardcoded '2 pending'</t>
        </is>
      </c>
      <c r="G24" s="12" t="inlineStr">
        <is>
          <t>Not Tested</t>
        </is>
      </c>
      <c r="H24" s="12" t="inlineStr"/>
      <c r="I24" s="14" t="inlineStr"/>
    </row>
    <row r="25" ht="48" customHeight="1">
      <c r="A25" s="11" t="inlineStr">
        <is>
          <t>F-021</t>
        </is>
      </c>
      <c r="B25" s="11" t="inlineStr">
        <is>
          <t>P0</t>
        </is>
      </c>
      <c r="C25" s="12" t="inlineStr">
        <is>
          <t>Profile</t>
        </is>
      </c>
      <c r="D25" s="13" t="inlineStr">
        <is>
          <t>Notification bell count matches reality</t>
        </is>
      </c>
      <c r="E25" s="14" t="inlineStr">
        <is>
          <t>1. Open the bell icon dropdown  2. Cross-check against /api/notifications response</t>
        </is>
      </c>
      <c r="F25" s="14" t="inlineStr">
        <is>
          <t>Number shown on the bell = unread_count. No stale 'X sent you a friend request' notif when no pending request exists</t>
        </is>
      </c>
      <c r="G25" s="12" t="inlineStr">
        <is>
          <t>Not Tested</t>
        </is>
      </c>
      <c r="H25" s="12" t="inlineStr"/>
      <c r="I25" s="14" t="inlineStr"/>
    </row>
  </sheetData>
  <autoFilter ref="A4:I25"/>
  <mergeCells count="2">
    <mergeCell ref="A1:I1"/>
    <mergeCell ref="A2:I2"/>
  </mergeCells>
  <conditionalFormatting sqref="G5:G2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conditionalFormatting sqref="B5:B25">
    <cfRule type="cellIs" priority="4" operator="equal" dxfId="1">
      <formula>"P0"</formula>
    </cfRule>
    <cfRule type="cellIs" priority="5" operator="equal" dxfId="2">
      <formula>"P1"</formula>
    </cfRule>
    <cfRule type="cellIs" priority="6" operator="equal" dxfId="3">
      <formula>"P2"</formula>
    </cfRule>
  </conditionalFormatting>
  <dataValidations count="3">
    <dataValidation sqref="G5:G25" showDropDown="0" showInputMessage="0" showErrorMessage="0" allowBlank="0" type="list">
      <formula1>"Not Tested,Pass,Fail,Blocked,N/A"</formula1>
    </dataValidation>
    <dataValidation sqref="H5:H25" showDropDown="0" showInputMessage="0" showErrorMessage="0" allowBlank="1" type="list">
      <formula1>"Chrome,Safari,Firefox,Edge,Mobile Safari,Mobile Chrome,Multi"</formula1>
    </dataValidation>
    <dataValidation sqref="B5:B25" showDropDown="0" showInputMessage="0" showErrorMessage="0" allowBlank="0" type="list">
      <formula1>"P0,P1,P2"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6" customWidth="1" min="3" max="3"/>
    <col width="38" customWidth="1" min="4" max="4"/>
    <col width="56" customWidth="1" min="5" max="5"/>
    <col width="46" customWidth="1" min="6" max="6"/>
    <col width="13" customWidth="1" min="7" max="7"/>
    <col width="16" customWidth="1" min="8" max="8"/>
    <col width="36" customWidth="1" min="9" max="9"/>
  </cols>
  <sheetData>
    <row r="1" ht="26" customHeight="1">
      <c r="A1" s="9" t="inlineStr">
        <is>
          <t>ATP Pre-Launch Tests — Taty</t>
        </is>
      </c>
    </row>
    <row r="2" ht="16" customHeight="1">
      <c r="A2" s="2" t="inlineStr">
        <is>
          <t>Walk each row, set Status, leave Notes if Fail/Blocked. Filter the Status column when retesting.</t>
        </is>
      </c>
    </row>
    <row r="4" ht="32" customHeight="1">
      <c r="A4" s="10" t="inlineStr">
        <is>
          <t>Test ID</t>
        </is>
      </c>
      <c r="B4" s="10" t="inlineStr">
        <is>
          <t>Priority</t>
        </is>
      </c>
      <c r="C4" s="10" t="inlineStr">
        <is>
          <t>Area</t>
        </is>
      </c>
      <c r="D4" s="10" t="inlineStr">
        <is>
          <t>Title</t>
        </is>
      </c>
      <c r="E4" s="10" t="inlineStr">
        <is>
          <t>Steps to reproduce</t>
        </is>
      </c>
      <c r="F4" s="10" t="inlineStr">
        <is>
          <t>Expected result</t>
        </is>
      </c>
      <c r="G4" s="10" t="inlineStr">
        <is>
          <t>Status</t>
        </is>
      </c>
      <c r="H4" s="10" t="inlineStr">
        <is>
          <t>Browser / Device</t>
        </is>
      </c>
      <c r="I4" s="10" t="inlineStr">
        <is>
          <t>Notes</t>
        </is>
      </c>
    </row>
    <row r="5" ht="48" customHeight="1">
      <c r="A5" s="11" t="inlineStr">
        <is>
          <t>T-001</t>
        </is>
      </c>
      <c r="B5" s="11" t="inlineStr">
        <is>
          <t>P0</t>
        </is>
      </c>
      <c r="C5" s="12" t="inlineStr">
        <is>
          <t>Community</t>
        </is>
      </c>
      <c r="D5" s="13" t="inlineStr">
        <is>
          <t>Feed loads with posts</t>
        </is>
      </c>
      <c r="E5" s="14" t="inlineStr">
        <is>
          <t>1. Open /community.html  2. Wait for feed to populate</t>
        </is>
      </c>
      <c r="F5" s="14" t="inlineStr">
        <is>
          <t>Within ~2 s, the feed shows real posts (most recent first). No infinite spinner. No 401/500 errors in console</t>
        </is>
      </c>
      <c r="G5" s="12" t="inlineStr">
        <is>
          <t>Not Tested</t>
        </is>
      </c>
      <c r="H5" s="12" t="inlineStr"/>
      <c r="I5" s="14" t="inlineStr"/>
    </row>
    <row r="6" ht="48" customHeight="1">
      <c r="A6" s="11" t="inlineStr">
        <is>
          <t>T-002</t>
        </is>
      </c>
      <c r="B6" s="11" t="inlineStr">
        <is>
          <t>P0</t>
        </is>
      </c>
      <c r="C6" s="12" t="inlineStr">
        <is>
          <t>Community</t>
        </is>
      </c>
      <c r="D6" s="13" t="inlineStr">
        <is>
          <t>Post text content is visible</t>
        </is>
      </c>
      <c r="E6" s="14" t="inlineStr">
        <is>
          <t>1. Scroll the feed</t>
        </is>
      </c>
      <c r="F6" s="14" t="inlineStr">
        <is>
          <t>Every post shows its text body. White text, ~16 px, ~1.6 line-height. Never empty card with just an avatar</t>
        </is>
      </c>
      <c r="G6" s="12" t="inlineStr">
        <is>
          <t>Not Tested</t>
        </is>
      </c>
      <c r="H6" s="12" t="inlineStr"/>
      <c r="I6" s="14" t="inlineStr"/>
    </row>
    <row r="7" ht="48" customHeight="1">
      <c r="A7" s="11" t="inlineStr">
        <is>
          <t>T-003</t>
        </is>
      </c>
      <c r="B7" s="11" t="inlineStr">
        <is>
          <t>P0</t>
        </is>
      </c>
      <c r="C7" s="12" t="inlineStr">
        <is>
          <t>Community</t>
        </is>
      </c>
      <c r="D7" s="13" t="inlineStr">
        <is>
          <t>Image posts display image</t>
        </is>
      </c>
      <c r="E7" s="14" t="inlineStr">
        <is>
          <t>1. Find a post with a photo attachment</t>
        </is>
      </c>
      <c r="F7" s="14" t="inlineStr">
        <is>
          <t>Image renders at 4:3 aspect ratio, rounded corners, fully visible (not just an empty box)</t>
        </is>
      </c>
      <c r="G7" s="12" t="inlineStr">
        <is>
          <t>Not Tested</t>
        </is>
      </c>
      <c r="H7" s="12" t="inlineStr"/>
      <c r="I7" s="14" t="inlineStr"/>
    </row>
    <row r="8" ht="48" customHeight="1">
      <c r="A8" s="11" t="inlineStr">
        <is>
          <t>T-004</t>
        </is>
      </c>
      <c r="B8" s="11" t="inlineStr">
        <is>
          <t>P0</t>
        </is>
      </c>
      <c r="C8" s="12" t="inlineStr">
        <is>
          <t>Community</t>
        </is>
      </c>
      <c r="D8" s="13" t="inlineStr">
        <is>
          <t>Video posts play with native controls</t>
        </is>
      </c>
      <c r="E8" s="14" t="inlineStr">
        <is>
          <t>1. Find a post with a video attachment  2. Tap to play</t>
        </is>
      </c>
      <c r="F8" s="14" t="inlineStr">
        <is>
          <t>Native video player shows play/pause/scrubber. Audio works. Does NOT render as a broken image</t>
        </is>
      </c>
      <c r="G8" s="12" t="inlineStr">
        <is>
          <t>Not Tested</t>
        </is>
      </c>
      <c r="H8" s="12" t="inlineStr"/>
      <c r="I8" s="14" t="inlineStr"/>
    </row>
    <row r="9" ht="48" customHeight="1">
      <c r="A9" s="11" t="inlineStr">
        <is>
          <t>T-005</t>
        </is>
      </c>
      <c r="B9" s="11" t="inlineStr">
        <is>
          <t>P0</t>
        </is>
      </c>
      <c r="C9" s="12" t="inlineStr">
        <is>
          <t>Community</t>
        </is>
      </c>
      <c r="D9" s="13" t="inlineStr">
        <is>
          <t>Post author avatar shows</t>
        </is>
      </c>
      <c r="E9" s="14" t="inlineStr">
        <is>
          <t>1. Scan author chips in the feed</t>
        </is>
      </c>
      <c r="F9" s="14" t="inlineStr">
        <is>
          <t>Each post shows the author's uploaded photo if any, otherwise initials on a coloured gradient. Never a plain grey circle</t>
        </is>
      </c>
      <c r="G9" s="12" t="inlineStr">
        <is>
          <t>Not Tested</t>
        </is>
      </c>
      <c r="H9" s="12" t="inlineStr"/>
      <c r="I9" s="14" t="inlineStr"/>
    </row>
    <row r="10" ht="48" customHeight="1">
      <c r="A10" s="11" t="inlineStr">
        <is>
          <t>T-006</t>
        </is>
      </c>
      <c r="B10" s="11" t="inlineStr">
        <is>
          <t>P1</t>
        </is>
      </c>
      <c r="C10" s="12" t="inlineStr">
        <is>
          <t>Community</t>
        </is>
      </c>
      <c r="D10" s="13" t="inlineStr">
        <is>
          <t>Like button toggles + count updates</t>
        </is>
      </c>
      <c r="E10" s="14" t="inlineStr">
        <is>
          <t>1. Find an unliked post  2. Tap the heart  3. Tap again</t>
        </is>
      </c>
      <c r="F10" s="14" t="inlineStr">
        <is>
          <t>First tap: heart fills, count increments by 1. Second tap: heart empties, count decrements. Optimistic; rolls back on error</t>
        </is>
      </c>
      <c r="G10" s="12" t="inlineStr">
        <is>
          <t>Not Tested</t>
        </is>
      </c>
      <c r="H10" s="12" t="inlineStr"/>
      <c r="I10" s="14" t="inlineStr"/>
    </row>
    <row r="11" ht="48" customHeight="1">
      <c r="A11" s="11" t="inlineStr">
        <is>
          <t>T-007</t>
        </is>
      </c>
      <c r="B11" s="11" t="inlineStr">
        <is>
          <t>P1</t>
        </is>
      </c>
      <c r="C11" s="12" t="inlineStr">
        <is>
          <t>Community</t>
        </is>
      </c>
      <c r="D11" s="13" t="inlineStr">
        <is>
          <t>Click post → detail page</t>
        </is>
      </c>
      <c r="E11" s="14" t="inlineStr">
        <is>
          <t>1. Tap the body of any post (not the heart, not the author)</t>
        </is>
      </c>
      <c r="F11" s="14" t="inlineStr">
        <is>
          <t>Navigates to /community/post/&lt;id&gt; with the full post + comments thread visible</t>
        </is>
      </c>
      <c r="G11" s="12" t="inlineStr">
        <is>
          <t>Not Tested</t>
        </is>
      </c>
      <c r="H11" s="12" t="inlineStr"/>
      <c r="I11" s="14" t="inlineStr"/>
    </row>
    <row r="12" ht="48" customHeight="1">
      <c r="A12" s="11" t="inlineStr">
        <is>
          <t>T-008</t>
        </is>
      </c>
      <c r="B12" s="11" t="inlineStr">
        <is>
          <t>P1</t>
        </is>
      </c>
      <c r="C12" s="12" t="inlineStr">
        <is>
          <t>Community</t>
        </is>
      </c>
      <c r="D12" s="13" t="inlineStr">
        <is>
          <t>Compose new text post</t>
        </is>
      </c>
      <c r="E12" s="14" t="inlineStr">
        <is>
          <t>1. Click 'New post' / composer  2. Type body, no media  3. Submit</t>
        </is>
      </c>
      <c r="F12" s="14" t="inlineStr">
        <is>
          <t>Post appears at the top of the feed after submit. Composer clears + closes. Toast confirmation visible</t>
        </is>
      </c>
      <c r="G12" s="12" t="inlineStr">
        <is>
          <t>Not Tested</t>
        </is>
      </c>
      <c r="H12" s="12" t="inlineStr"/>
      <c r="I12" s="14" t="inlineStr"/>
    </row>
    <row r="13" ht="48" customHeight="1">
      <c r="A13" s="11" t="inlineStr">
        <is>
          <t>T-009</t>
        </is>
      </c>
      <c r="B13" s="11" t="inlineStr">
        <is>
          <t>P1</t>
        </is>
      </c>
      <c r="C13" s="12" t="inlineStr">
        <is>
          <t>Community</t>
        </is>
      </c>
      <c r="D13" s="13" t="inlineStr">
        <is>
          <t>Compose post with image</t>
        </is>
      </c>
      <c r="E13" s="14" t="inlineStr">
        <is>
          <t>1. Open composer  2. Pick an image from the picker  3. Type a caption  4. Submit</t>
        </is>
      </c>
      <c r="F13" s="14" t="inlineStr">
        <is>
          <t>Upload progress visible. Post appears with the image rendered. Backend stores media as src (not url)</t>
        </is>
      </c>
      <c r="G13" s="12" t="inlineStr">
        <is>
          <t>Not Tested</t>
        </is>
      </c>
      <c r="H13" s="12" t="inlineStr"/>
      <c r="I13" s="14" t="inlineStr"/>
    </row>
    <row r="14" ht="48" customHeight="1">
      <c r="A14" s="11" t="inlineStr">
        <is>
          <t>T-010</t>
        </is>
      </c>
      <c r="B14" s="11" t="inlineStr">
        <is>
          <t>P2</t>
        </is>
      </c>
      <c r="C14" s="12" t="inlineStr">
        <is>
          <t>Community</t>
        </is>
      </c>
      <c r="D14" s="13" t="inlineStr">
        <is>
          <t>Compose post with video</t>
        </is>
      </c>
      <c r="E14" s="14" t="inlineStr">
        <is>
          <t>1. Open composer  2. Pick a short MP4  3. Submit</t>
        </is>
      </c>
      <c r="F14" s="14" t="inlineStr">
        <is>
          <t>Upload completes within ~30 s for a 10 MB clip. Video plays inline with controls</t>
        </is>
      </c>
      <c r="G14" s="12" t="inlineStr">
        <is>
          <t>Not Tested</t>
        </is>
      </c>
      <c r="H14" s="12" t="inlineStr"/>
      <c r="I14" s="14" t="inlineStr"/>
    </row>
    <row r="15" ht="48" customHeight="1">
      <c r="A15" s="11" t="inlineStr">
        <is>
          <t>T-011</t>
        </is>
      </c>
      <c r="B15" s="11" t="inlineStr">
        <is>
          <t>P0</t>
        </is>
      </c>
      <c r="C15" s="12" t="inlineStr">
        <is>
          <t>Community</t>
        </is>
      </c>
      <c r="D15" s="13" t="inlineStr">
        <is>
          <t>Tribe filter shows only your-tribe posts</t>
        </is>
      </c>
      <c r="E15" s="14" t="inlineStr">
        <is>
          <t>1. Click 'Your Tribe' tab on community page</t>
        </is>
      </c>
      <c r="F15" s="14" t="inlineStr">
        <is>
          <t>Only posts authored by members of your tribe appear. If no tribe set, friendly prompt to pick one + button</t>
        </is>
      </c>
      <c r="G15" s="12" t="inlineStr">
        <is>
          <t>Not Tested</t>
        </is>
      </c>
      <c r="H15" s="12" t="inlineStr"/>
      <c r="I15" s="14" t="inlineStr"/>
    </row>
    <row r="16" ht="48" customHeight="1">
      <c r="A16" s="11" t="inlineStr">
        <is>
          <t>T-012</t>
        </is>
      </c>
      <c r="B16" s="11" t="inlineStr">
        <is>
          <t>P1</t>
        </is>
      </c>
      <c r="C16" s="12" t="inlineStr">
        <is>
          <t>Community</t>
        </is>
      </c>
      <c r="D16" s="13" t="inlineStr">
        <is>
          <t>Load more / pagination works</t>
        </is>
      </c>
      <c r="E16" s="14" t="inlineStr">
        <is>
          <t>1. Scroll to the bottom of the feed</t>
        </is>
      </c>
      <c r="F16" s="14" t="inlineStr">
        <is>
          <t>Older posts auto-load (or 'Load more' button works). No duplicate posts. No infinite spinner when there is nothing more</t>
        </is>
      </c>
      <c r="G16" s="12" t="inlineStr">
        <is>
          <t>Not Tested</t>
        </is>
      </c>
      <c r="H16" s="12" t="inlineStr"/>
      <c r="I16" s="14" t="inlineStr"/>
    </row>
    <row r="17" ht="48" customHeight="1">
      <c r="A17" s="11" t="inlineStr">
        <is>
          <t>T-013</t>
        </is>
      </c>
      <c r="B17" s="11" t="inlineStr">
        <is>
          <t>P0</t>
        </is>
      </c>
      <c r="C17" s="12" t="inlineStr">
        <is>
          <t>Community</t>
        </is>
      </c>
      <c r="D17" s="13" t="inlineStr">
        <is>
          <t>Leaderboard tab loads</t>
        </is>
      </c>
      <c r="E17" s="14" t="inlineStr">
        <is>
          <t>1. Click 'Leaderboard' tab</t>
        </is>
      </c>
      <c r="F17" s="14" t="inlineStr">
        <is>
          <t>Top members ranked by points/sessions. Your own row highlighted. Avatars + names + tribe pills visible</t>
        </is>
      </c>
      <c r="G17" s="12" t="inlineStr">
        <is>
          <t>Not Tested</t>
        </is>
      </c>
      <c r="H17" s="12" t="inlineStr"/>
      <c r="I17" s="14" t="inlineStr"/>
    </row>
    <row r="18" ht="48" customHeight="1">
      <c r="A18" s="11" t="inlineStr">
        <is>
          <t>T-014</t>
        </is>
      </c>
      <c r="B18" s="11" t="inlineStr">
        <is>
          <t>P0</t>
        </is>
      </c>
      <c r="C18" s="12" t="inlineStr">
        <is>
          <t>Community</t>
        </is>
      </c>
      <c r="D18" s="13" t="inlineStr">
        <is>
          <t>Challenges tab + active challenges</t>
        </is>
      </c>
      <c r="E18" s="14" t="inlineStr">
        <is>
          <t>1. Click 'Challenges' tab</t>
        </is>
      </c>
      <c r="F18" s="14" t="inlineStr">
        <is>
          <t>Active challenges listed. Join button per challenge. Progress bars show on joined ones</t>
        </is>
      </c>
      <c r="G18" s="12" t="inlineStr">
        <is>
          <t>Not Tested</t>
        </is>
      </c>
      <c r="H18" s="12" t="inlineStr"/>
      <c r="I18" s="14" t="inlineStr"/>
    </row>
    <row r="19" ht="48" customHeight="1">
      <c r="A19" s="11" t="inlineStr">
        <is>
          <t>T-015</t>
        </is>
      </c>
      <c r="B19" s="11" t="inlineStr">
        <is>
          <t>P0</t>
        </is>
      </c>
      <c r="C19" s="12" t="inlineStr">
        <is>
          <t>Community</t>
        </is>
      </c>
      <c r="D19" s="13" t="inlineStr">
        <is>
          <t>Blog tab opens blog page</t>
        </is>
      </c>
      <c r="E19" s="14" t="inlineStr">
        <is>
          <t>1. Click 'Blog' tab</t>
        </is>
      </c>
      <c r="F19" s="14" t="inlineStr">
        <is>
          <t>Navigates to /blog.html with latest posts grid. No 404</t>
        </is>
      </c>
      <c r="G19" s="12" t="inlineStr">
        <is>
          <t>Not Tested</t>
        </is>
      </c>
      <c r="H19" s="12" t="inlineStr"/>
      <c r="I19" s="14" t="inlineStr"/>
    </row>
    <row r="20" ht="48" customHeight="1">
      <c r="A20" s="11" t="inlineStr">
        <is>
          <t>T-016</t>
        </is>
      </c>
      <c r="B20" s="11" t="inlineStr">
        <is>
          <t>P1</t>
        </is>
      </c>
      <c r="C20" s="12" t="inlineStr">
        <is>
          <t>Community</t>
        </is>
      </c>
      <c r="D20" s="13" t="inlineStr">
        <is>
          <t>Tab switching preserves scroll</t>
        </is>
      </c>
      <c r="E20" s="14" t="inlineStr">
        <is>
          <t>1. Scroll feed down  2. Switch to Leaderboard  3. Switch back to Feed</t>
        </is>
      </c>
      <c r="F20" s="14" t="inlineStr">
        <is>
          <t>Feed scroll position is roughly preserved (or returns to top cleanly — no broken in-between state)</t>
        </is>
      </c>
      <c r="G20" s="12" t="inlineStr">
        <is>
          <t>Not Tested</t>
        </is>
      </c>
      <c r="H20" s="12" t="inlineStr"/>
      <c r="I20" s="14" t="inlineStr"/>
    </row>
    <row r="21" ht="48" customHeight="1">
      <c r="A21" s="11" t="inlineStr">
        <is>
          <t>T-017</t>
        </is>
      </c>
      <c r="B21" s="11" t="inlineStr">
        <is>
          <t>P0</t>
        </is>
      </c>
      <c r="C21" s="12" t="inlineStr">
        <is>
          <t>Community</t>
        </is>
      </c>
      <c r="D21" s="13" t="inlineStr">
        <is>
          <t>Latest Member Feedback widget shows entries</t>
        </is>
      </c>
      <c r="E21" s="14" t="inlineStr">
        <is>
          <t>1. Open /community.html  2. Look at right sidebar</t>
        </is>
      </c>
      <c r="F21" s="14" t="inlineStr">
        <is>
          <t>Widget shows up to 5 recent feedbacks (avatar + name + ★ rating + comment + session name). Empty state if zero</t>
        </is>
      </c>
      <c r="G21" s="12" t="inlineStr">
        <is>
          <t>Not Tested</t>
        </is>
      </c>
      <c r="H21" s="12" t="inlineStr"/>
      <c r="I21" s="14" t="inlineStr"/>
    </row>
    <row r="22" ht="48" customHeight="1">
      <c r="A22" s="11" t="inlineStr">
        <is>
          <t>T-018</t>
        </is>
      </c>
      <c r="B22" s="11" t="inlineStr">
        <is>
          <t>P1</t>
        </is>
      </c>
      <c r="C22" s="12" t="inlineStr">
        <is>
          <t>Community</t>
        </is>
      </c>
      <c r="D22" s="13" t="inlineStr">
        <is>
          <t>Feedback row layout reads cleanly</t>
        </is>
      </c>
      <c r="E22" s="14" t="inlineStr">
        <is>
          <t>1. Inspect each feedback row</t>
        </is>
      </c>
      <c r="F22" s="14" t="inlineStr">
        <is>
          <t>Avatar circle on left, name + AMB badge + stars + time on a row, comment below, session name in muted small-caps below</t>
        </is>
      </c>
      <c r="G22" s="12" t="inlineStr">
        <is>
          <t>Not Tested</t>
        </is>
      </c>
      <c r="H22" s="12" t="inlineStr"/>
      <c r="I22" s="14" t="inlineStr"/>
    </row>
    <row r="23" ht="48" customHeight="1">
      <c r="A23" s="11" t="inlineStr">
        <is>
          <t>T-019</t>
        </is>
      </c>
      <c r="B23" s="11" t="inlineStr">
        <is>
          <t>P2</t>
        </is>
      </c>
      <c r="C23" s="12" t="inlineStr">
        <is>
          <t>Community</t>
        </is>
      </c>
      <c r="D23" s="13" t="inlineStr">
        <is>
          <t>Empty-state feedback copy</t>
        </is>
      </c>
      <c r="E23" s="14" t="inlineStr">
        <is>
          <t>1. Open /community.html on a freshly-seeded DB (or test env with no feedback)</t>
        </is>
      </c>
      <c r="F23" s="14" t="inlineStr">
        <is>
          <t>Shows 'No feedback yet — be the first after your next session.' rather than a broken empty widget</t>
        </is>
      </c>
      <c r="G23" s="12" t="inlineStr">
        <is>
          <t>Not Tested</t>
        </is>
      </c>
      <c r="H23" s="12" t="inlineStr"/>
      <c r="I23" s="14" t="inlineStr"/>
    </row>
    <row r="24" ht="48" customHeight="1">
      <c r="A24" s="11" t="inlineStr">
        <is>
          <t>T-020</t>
        </is>
      </c>
      <c r="B24" s="11" t="inlineStr">
        <is>
          <t>P0</t>
        </is>
      </c>
      <c r="C24" s="12" t="inlineStr">
        <is>
          <t>Community</t>
        </is>
      </c>
      <c r="D24" s="13" t="inlineStr">
        <is>
          <t>Friend request notification arrives in bell</t>
        </is>
      </c>
      <c r="E24" s="14" t="inlineStr">
        <is>
          <t>1. Have a second account send you a friend request  2. Open the bell on your account</t>
        </is>
      </c>
      <c r="F24" s="14" t="inlineStr">
        <is>
          <t>New unread 'X wants to be friends' notification appears. Bell count increments by 1</t>
        </is>
      </c>
      <c r="G24" s="12" t="inlineStr">
        <is>
          <t>Not Tested</t>
        </is>
      </c>
      <c r="H24" s="12" t="inlineStr"/>
      <c r="I24" s="14" t="inlineStr"/>
    </row>
    <row r="25" ht="48" customHeight="1">
      <c r="A25" s="11" t="inlineStr">
        <is>
          <t>T-021</t>
        </is>
      </c>
      <c r="B25" s="11" t="inlineStr">
        <is>
          <t>P0</t>
        </is>
      </c>
      <c r="C25" s="12" t="inlineStr">
        <is>
          <t>Community</t>
        </is>
      </c>
      <c r="D25" s="13" t="inlineStr">
        <is>
          <t>Block / Unblock / Report user works</t>
        </is>
      </c>
      <c r="E25" s="14" t="inlineStr">
        <is>
          <t>1. Open another member's profile (/community/members/&lt;id&gt;)  2. Click ⋯ → Block  3. Confirm  4. Reverse from Profile → Blocked</t>
        </is>
      </c>
      <c r="F25" s="14" t="inlineStr">
        <is>
          <t>Block removes them from your feed + DMs. Their friend request is auto-torn down. Unblock restores. Report sends moderation entry</t>
        </is>
      </c>
      <c r="G25" s="12" t="inlineStr">
        <is>
          <t>Not Tested</t>
        </is>
      </c>
      <c r="H25" s="12" t="inlineStr"/>
      <c r="I25" s="14" t="inlineStr"/>
    </row>
  </sheetData>
  <autoFilter ref="A4:I25"/>
  <mergeCells count="2">
    <mergeCell ref="A1:I1"/>
    <mergeCell ref="A2:I2"/>
  </mergeCells>
  <conditionalFormatting sqref="G5:G2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conditionalFormatting sqref="B5:B25">
    <cfRule type="cellIs" priority="4" operator="equal" dxfId="1">
      <formula>"P0"</formula>
    </cfRule>
    <cfRule type="cellIs" priority="5" operator="equal" dxfId="2">
      <formula>"P1"</formula>
    </cfRule>
    <cfRule type="cellIs" priority="6" operator="equal" dxfId="3">
      <formula>"P2"</formula>
    </cfRule>
  </conditionalFormatting>
  <dataValidations count="3">
    <dataValidation sqref="G5:G25" showDropDown="0" showInputMessage="0" showErrorMessage="0" allowBlank="0" type="list">
      <formula1>"Not Tested,Pass,Fail,Blocked,N/A"</formula1>
    </dataValidation>
    <dataValidation sqref="H5:H25" showDropDown="0" showInputMessage="0" showErrorMessage="0" allowBlank="1" type="list">
      <formula1>"Chrome,Safari,Firefox,Edge,Mobile Safari,Mobile Chrome,Multi"</formula1>
    </dataValidation>
    <dataValidation sqref="B5:B25" showDropDown="0" showInputMessage="0" showErrorMessage="0" allowBlank="0" type="list">
      <formula1>"P0,P1,P2"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6" customWidth="1" min="3" max="3"/>
    <col width="38" customWidth="1" min="4" max="4"/>
    <col width="56" customWidth="1" min="5" max="5"/>
    <col width="46" customWidth="1" min="6" max="6"/>
    <col width="13" customWidth="1" min="7" max="7"/>
    <col width="16" customWidth="1" min="8" max="8"/>
    <col width="36" customWidth="1" min="9" max="9"/>
  </cols>
  <sheetData>
    <row r="1" ht="26" customHeight="1">
      <c r="A1" s="9" t="inlineStr">
        <is>
          <t>ATP Pre-Launch Tests — Alex</t>
        </is>
      </c>
    </row>
    <row r="2" ht="16" customHeight="1">
      <c r="A2" s="2" t="inlineStr">
        <is>
          <t>Walk each row, set Status, leave Notes if Fail/Blocked. Filter the Status column when retesting.</t>
        </is>
      </c>
    </row>
    <row r="4" ht="32" customHeight="1">
      <c r="A4" s="10" t="inlineStr">
        <is>
          <t>Test ID</t>
        </is>
      </c>
      <c r="B4" s="10" t="inlineStr">
        <is>
          <t>Priority</t>
        </is>
      </c>
      <c r="C4" s="10" t="inlineStr">
        <is>
          <t>Area</t>
        </is>
      </c>
      <c r="D4" s="10" t="inlineStr">
        <is>
          <t>Title</t>
        </is>
      </c>
      <c r="E4" s="10" t="inlineStr">
        <is>
          <t>Steps to reproduce</t>
        </is>
      </c>
      <c r="F4" s="10" t="inlineStr">
        <is>
          <t>Expected result</t>
        </is>
      </c>
      <c r="G4" s="10" t="inlineStr">
        <is>
          <t>Status</t>
        </is>
      </c>
      <c r="H4" s="10" t="inlineStr">
        <is>
          <t>Browser / Device</t>
        </is>
      </c>
      <c r="I4" s="10" t="inlineStr">
        <is>
          <t>Notes</t>
        </is>
      </c>
    </row>
    <row r="5" ht="48" customHeight="1">
      <c r="A5" s="11" t="inlineStr">
        <is>
          <t>A-001</t>
        </is>
      </c>
      <c r="B5" s="11" t="inlineStr">
        <is>
          <t>P0</t>
        </is>
      </c>
      <c r="C5" s="12" t="inlineStr">
        <is>
          <t>Sessions</t>
        </is>
      </c>
      <c r="D5" s="13" t="inlineStr">
        <is>
          <t>Page hero is compact</t>
        </is>
      </c>
      <c r="E5" s="14" t="inlineStr">
        <is>
          <t>1. Open /sessions.html  2. Note the hero height</t>
        </is>
      </c>
      <c r="F5" s="14" t="inlineStr">
        <is>
          <t>Top hero is ~1/4 the height of the old one. Title clamp(26,3.4vw,40). Padding nav-h+16/18. No 'Activities / Coaches / AED 0' stats card</t>
        </is>
      </c>
      <c r="G5" s="12" t="inlineStr">
        <is>
          <t>Not Tested</t>
        </is>
      </c>
      <c r="H5" s="12" t="inlineStr"/>
      <c r="I5" s="14" t="inlineStr"/>
    </row>
    <row r="6" ht="48" customHeight="1">
      <c r="A6" s="11" t="inlineStr">
        <is>
          <t>A-002</t>
        </is>
      </c>
      <c r="B6" s="11" t="inlineStr">
        <is>
          <t>P0</t>
        </is>
      </c>
      <c r="C6" s="12" t="inlineStr">
        <is>
          <t>Sessions</t>
        </is>
      </c>
      <c r="D6" s="13" t="inlineStr">
        <is>
          <t>ph-stat-num + ph-stat-label removed</t>
        </is>
      </c>
      <c r="E6" s="14" t="inlineStr">
        <is>
          <t>1. View the page source / inspect</t>
        </is>
      </c>
      <c r="F6" s="14" t="inlineStr">
        <is>
          <t>No `.ph-stat-num` or `.ph-stat-label` elements present. CSS rules also removed</t>
        </is>
      </c>
      <c r="G6" s="12" t="inlineStr">
        <is>
          <t>Not Tested</t>
        </is>
      </c>
      <c r="H6" s="12" t="inlineStr"/>
      <c r="I6" s="14" t="inlineStr"/>
    </row>
    <row r="7" ht="48" customHeight="1">
      <c r="A7" s="11" t="inlineStr">
        <is>
          <t>A-003</t>
        </is>
      </c>
      <c r="B7" s="11" t="inlineStr">
        <is>
          <t>P0</t>
        </is>
      </c>
      <c r="C7" s="12" t="inlineStr">
        <is>
          <t>Sessions</t>
        </is>
      </c>
      <c r="D7" s="13" t="inlineStr">
        <is>
          <t>Calendar is the default view on load</t>
        </is>
      </c>
      <c r="E7" s="14" t="inlineStr">
        <is>
          <t>1. Open /sessions.html in a fresh tab</t>
        </is>
      </c>
      <c r="F7" s="14" t="inlineStr">
        <is>
          <t>Calendar view (not list) appears immediately. 'Calendar' segmented button is active, list hidden, day-filter row hidden</t>
        </is>
      </c>
      <c r="G7" s="12" t="inlineStr">
        <is>
          <t>Not Tested</t>
        </is>
      </c>
      <c r="H7" s="12" t="inlineStr"/>
      <c r="I7" s="14" t="inlineStr"/>
    </row>
    <row r="8" ht="48" customHeight="1">
      <c r="A8" s="11" t="inlineStr">
        <is>
          <t>A-004</t>
        </is>
      </c>
      <c r="B8" s="11" t="inlineStr">
        <is>
          <t>P0</t>
        </is>
      </c>
      <c r="C8" s="12" t="inlineStr">
        <is>
          <t>Sessions</t>
        </is>
      </c>
      <c r="D8" s="13" t="inlineStr">
        <is>
          <t>Tribe filter row loads</t>
        </is>
      </c>
      <c r="E8" s="14" t="inlineStr">
        <is>
          <t>1. Look just below the hero</t>
        </is>
      </c>
      <c r="F8" s="14" t="inlineStr">
        <is>
          <t>'All Sessions / Better Tribe / Faster Tribe / Stronger Tribe' pills are visible. 'All Sessions' is active by default</t>
        </is>
      </c>
      <c r="G8" s="12" t="inlineStr">
        <is>
          <t>Not Tested</t>
        </is>
      </c>
      <c r="H8" s="12" t="inlineStr"/>
      <c r="I8" s="14" t="inlineStr"/>
    </row>
    <row r="9" ht="48" customHeight="1">
      <c r="A9" s="11" t="inlineStr">
        <is>
          <t>A-005</t>
        </is>
      </c>
      <c r="B9" s="11" t="inlineStr">
        <is>
          <t>P0</t>
        </is>
      </c>
      <c r="C9" s="12" t="inlineStr">
        <is>
          <t>Sessions</t>
        </is>
      </c>
      <c r="D9" s="13" t="inlineStr">
        <is>
          <t>Calendar shows current month</t>
        </is>
      </c>
      <c r="E9" s="14" t="inlineStr">
        <is>
          <t>1. Look at the month label above the grid</t>
        </is>
      </c>
      <c r="F9" s="14" t="inlineStr">
        <is>
          <t>Reads e.g. 'June 2026'. Today's date highlighted with TODAY pill + green border + gentle pulse</t>
        </is>
      </c>
      <c r="G9" s="12" t="inlineStr">
        <is>
          <t>Not Tested</t>
        </is>
      </c>
      <c r="H9" s="12" t="inlineStr"/>
      <c r="I9" s="14" t="inlineStr"/>
    </row>
    <row r="10" ht="48" customHeight="1">
      <c r="A10" s="11" t="inlineStr">
        <is>
          <t>A-006</t>
        </is>
      </c>
      <c r="B10" s="11" t="inlineStr">
        <is>
          <t>P0</t>
        </is>
      </c>
      <c r="C10" s="12" t="inlineStr">
        <is>
          <t>Sessions</t>
        </is>
      </c>
      <c r="D10" s="13" t="inlineStr">
        <is>
          <t>Today's cell visually distinct</t>
        </is>
      </c>
      <c r="E10" s="14" t="inlineStr">
        <is>
          <t>1. Find today's date</t>
        </is>
      </c>
      <c r="F10" s="14" t="inlineStr">
        <is>
          <t>Green TODAY pill in top-right corner, green-tinted radial background, day number in green with subtle glow</t>
        </is>
      </c>
      <c r="G10" s="12" t="inlineStr">
        <is>
          <t>Not Tested</t>
        </is>
      </c>
      <c r="H10" s="12" t="inlineStr"/>
      <c r="I10" s="14" t="inlineStr"/>
    </row>
    <row r="11" ht="48" customHeight="1">
      <c r="A11" s="11" t="inlineStr">
        <is>
          <t>A-007</t>
        </is>
      </c>
      <c r="B11" s="11" t="inlineStr">
        <is>
          <t>P0</t>
        </is>
      </c>
      <c r="C11" s="12" t="inlineStr">
        <is>
          <t>Sessions</t>
        </is>
      </c>
      <c r="D11" s="13" t="inlineStr">
        <is>
          <t>Days with sessions show count badge</t>
        </is>
      </c>
      <c r="E11" s="14" t="inlineStr">
        <is>
          <t>1. Look at days that have sessions</t>
        </is>
      </c>
      <c r="F11" s="14" t="inlineStr">
        <is>
          <t>Small lime count badge top-right (e.g. '3'). Today shows TODAY pill instead (count badge hidden on today)</t>
        </is>
      </c>
      <c r="G11" s="12" t="inlineStr">
        <is>
          <t>Not Tested</t>
        </is>
      </c>
      <c r="H11" s="12" t="inlineStr"/>
      <c r="I11" s="14" t="inlineStr"/>
    </row>
    <row r="12" ht="48" customHeight="1">
      <c r="A12" s="11" t="inlineStr">
        <is>
          <t>A-008</t>
        </is>
      </c>
      <c r="B12" s="11" t="inlineStr">
        <is>
          <t>P0</t>
        </is>
      </c>
      <c r="C12" s="12" t="inlineStr">
        <is>
          <t>Sessions</t>
        </is>
      </c>
      <c r="D12" s="13" t="inlineStr">
        <is>
          <t>Hovering a day with sessions shows popover</t>
        </is>
      </c>
      <c r="E12" s="14" t="inlineStr">
        <is>
          <t>1. Hover the cursor over any session-day</t>
        </is>
      </c>
      <c r="F12" s="14" t="inlineStr">
        <is>
          <t>Popover smoothly scales+fades in below the cell. Lime-bordered card, dark bg</t>
        </is>
      </c>
      <c r="G12" s="12" t="inlineStr">
        <is>
          <t>Not Tested</t>
        </is>
      </c>
      <c r="H12" s="12" t="inlineStr"/>
      <c r="I12" s="14" t="inlineStr"/>
    </row>
    <row r="13" ht="48" customHeight="1">
      <c r="A13" s="11" t="inlineStr">
        <is>
          <t>A-009</t>
        </is>
      </c>
      <c r="B13" s="11" t="inlineStr">
        <is>
          <t>P0</t>
        </is>
      </c>
      <c r="C13" s="12" t="inlineStr">
        <is>
          <t>Sessions</t>
        </is>
      </c>
      <c r="D13" s="13" t="inlineStr">
        <is>
          <t>Popover lists ALL sessions for that day</t>
        </is>
      </c>
      <c r="E13" s="14" t="inlineStr">
        <is>
          <t>1. Hover a day with 4+ sessions  2. Read the popover</t>
        </is>
      </c>
      <c r="F13" s="14" t="inlineStr">
        <is>
          <t>Popover shows ALL sessions (not just the first 2). Header: 'Friday · June 27 — 4 sessions'. Each row: time + name + coach · location</t>
        </is>
      </c>
      <c r="G13" s="12" t="inlineStr">
        <is>
          <t>Not Tested</t>
        </is>
      </c>
      <c r="H13" s="12" t="inlineStr"/>
      <c r="I13" s="14" t="inlineStr"/>
    </row>
    <row r="14" ht="48" customHeight="1">
      <c r="A14" s="11" t="inlineStr">
        <is>
          <t>A-010</t>
        </is>
      </c>
      <c r="B14" s="11" t="inlineStr">
        <is>
          <t>P0</t>
        </is>
      </c>
      <c r="C14" s="12" t="inlineStr">
        <is>
          <t>Sessions</t>
        </is>
      </c>
      <c r="D14" s="13" t="inlineStr">
        <is>
          <t>Popover row click opens session modal</t>
        </is>
      </c>
      <c r="E14" s="14" t="inlineStr">
        <is>
          <t>1. Hover a day  2. Click a session row inside the popover</t>
        </is>
      </c>
      <c r="F14" s="14" t="inlineStr">
        <is>
          <t>Detail modal opens with name, day/time, coach, location, Book button — same UX as clicking a dot in the cell</t>
        </is>
      </c>
      <c r="G14" s="12" t="inlineStr">
        <is>
          <t>Not Tested</t>
        </is>
      </c>
      <c r="H14" s="12" t="inlineStr"/>
      <c r="I14" s="14" t="inlineStr"/>
    </row>
    <row r="15" ht="48" customHeight="1">
      <c r="A15" s="11" t="inlineStr">
        <is>
          <t>A-011</t>
        </is>
      </c>
      <c r="B15" s="11" t="inlineStr">
        <is>
          <t>P1</t>
        </is>
      </c>
      <c r="C15" s="12" t="inlineStr">
        <is>
          <t>Sessions</t>
        </is>
      </c>
      <c r="D15" s="13" t="inlineStr">
        <is>
          <t>Last-row popovers flip UP</t>
        </is>
      </c>
      <c r="E15" s="14" t="inlineStr">
        <is>
          <t>1. Navigate to a month where sessions land on rows 5-6  2. Hover one of those days</t>
        </is>
      </c>
      <c r="F15" s="14" t="inlineStr">
        <is>
          <t>Popover appears ABOVE the cell, not below (no clipping off the bottom of the viewport)</t>
        </is>
      </c>
      <c r="G15" s="12" t="inlineStr">
        <is>
          <t>Not Tested</t>
        </is>
      </c>
      <c r="H15" s="12" t="inlineStr"/>
      <c r="I15" s="14" t="inlineStr"/>
    </row>
    <row r="16" ht="48" customHeight="1">
      <c r="A16" s="11" t="inlineStr">
        <is>
          <t>A-012</t>
        </is>
      </c>
      <c r="B16" s="11" t="inlineStr">
        <is>
          <t>P1</t>
        </is>
      </c>
      <c r="C16" s="12" t="inlineStr">
        <is>
          <t>Sessions</t>
        </is>
      </c>
      <c r="D16" s="13" t="inlineStr">
        <is>
          <t>Next / Prev month navigation</t>
        </is>
      </c>
      <c r="E16" s="14" t="inlineStr">
        <is>
          <t>1. Click the right arrow (next month)  2. Click left arrow (prev)  3. Click 'Today'</t>
        </is>
      </c>
      <c r="F16" s="14" t="inlineStr">
        <is>
          <t>Grid re-renders for each. Today button returns to current month with today highlighted</t>
        </is>
      </c>
      <c r="G16" s="12" t="inlineStr">
        <is>
          <t>Not Tested</t>
        </is>
      </c>
      <c r="H16" s="12" t="inlineStr"/>
      <c r="I16" s="14" t="inlineStr"/>
    </row>
    <row r="17" ht="48" customHeight="1">
      <c r="A17" s="11" t="inlineStr">
        <is>
          <t>A-013</t>
        </is>
      </c>
      <c r="B17" s="11" t="inlineStr">
        <is>
          <t>P0</t>
        </is>
      </c>
      <c r="C17" s="12" t="inlineStr">
        <is>
          <t>Sessions</t>
        </is>
      </c>
      <c r="D17" s="13" t="inlineStr">
        <is>
          <t>Tribe pills filter the calendar</t>
        </is>
      </c>
      <c r="E17" s="14" t="inlineStr">
        <is>
          <t>1. Click 'Stronger Tribe'  2. Look at session counts</t>
        </is>
      </c>
      <c r="F17" s="14" t="inlineStr">
        <is>
          <t>Counts/dots update to show only Stronger-tribe sessions. Click 'All Sessions' restores everything</t>
        </is>
      </c>
      <c r="G17" s="12" t="inlineStr">
        <is>
          <t>Not Tested</t>
        </is>
      </c>
      <c r="H17" s="12" t="inlineStr"/>
      <c r="I17" s="14" t="inlineStr"/>
    </row>
    <row r="18" ht="48" customHeight="1">
      <c r="A18" s="11" t="inlineStr">
        <is>
          <t>A-014</t>
        </is>
      </c>
      <c r="B18" s="11" t="inlineStr">
        <is>
          <t>P0</t>
        </is>
      </c>
      <c r="C18" s="12" t="inlineStr">
        <is>
          <t>Sessions</t>
        </is>
      </c>
      <c r="D18" s="13" t="inlineStr">
        <is>
          <t>City dropdown filter</t>
        </is>
      </c>
      <c r="E18" s="14" t="inlineStr">
        <is>
          <t>1. Switch to List view  2. Select 'Dubai' in city dropdown</t>
        </is>
      </c>
      <c r="F18" s="14" t="inlineStr">
        <is>
          <t>List narrows to Dubai sessions only. All cities option restores</t>
        </is>
      </c>
      <c r="G18" s="12" t="inlineStr">
        <is>
          <t>Not Tested</t>
        </is>
      </c>
      <c r="H18" s="12" t="inlineStr"/>
      <c r="I18" s="14" t="inlineStr"/>
    </row>
    <row r="19" ht="48" customHeight="1">
      <c r="A19" s="11" t="inlineStr">
        <is>
          <t>A-015</t>
        </is>
      </c>
      <c r="B19" s="11" t="inlineStr">
        <is>
          <t>P0</t>
        </is>
      </c>
      <c r="C19" s="12" t="inlineStr">
        <is>
          <t>Sessions</t>
        </is>
      </c>
      <c r="D19" s="13" t="inlineStr">
        <is>
          <t>Activity dropdown filter</t>
        </is>
      </c>
      <c r="E19" s="14" t="inlineStr">
        <is>
          <t>1. List view  2. Select 'Padel' in activities dropdown</t>
        </is>
      </c>
      <c r="F19" s="14" t="inlineStr">
        <is>
          <t>List narrows to Padel sessions only</t>
        </is>
      </c>
      <c r="G19" s="12" t="inlineStr">
        <is>
          <t>Not Tested</t>
        </is>
      </c>
      <c r="H19" s="12" t="inlineStr"/>
      <c r="I19" s="14" t="inlineStr"/>
    </row>
    <row r="20" ht="48" customHeight="1">
      <c r="A20" s="11" t="inlineStr">
        <is>
          <t>A-016</t>
        </is>
      </c>
      <c r="B20" s="11" t="inlineStr">
        <is>
          <t>P1</t>
        </is>
      </c>
      <c r="C20" s="12" t="inlineStr">
        <is>
          <t>Sessions</t>
        </is>
      </c>
      <c r="D20" s="13" t="inlineStr">
        <is>
          <t>Day-of-week pills filter (list view)</t>
        </is>
      </c>
      <c r="E20" s="14" t="inlineStr">
        <is>
          <t>1. List view  2. Click 'Fri'</t>
        </is>
      </c>
      <c r="F20" s="14" t="inlineStr">
        <is>
          <t>Only Friday sessions shown across the week. 'All days' restores</t>
        </is>
      </c>
      <c r="G20" s="12" t="inlineStr">
        <is>
          <t>Not Tested</t>
        </is>
      </c>
      <c r="H20" s="12" t="inlineStr"/>
      <c r="I20" s="14" t="inlineStr"/>
    </row>
    <row r="21" ht="48" customHeight="1">
      <c r="A21" s="11" t="inlineStr">
        <is>
          <t>A-017</t>
        </is>
      </c>
      <c r="B21" s="11" t="inlineStr">
        <is>
          <t>P1</t>
        </is>
      </c>
      <c r="C21" s="12" t="inlineStr">
        <is>
          <t>Sessions</t>
        </is>
      </c>
      <c r="D21" s="13" t="inlineStr">
        <is>
          <t>Combined filters narrow correctly</t>
        </is>
      </c>
      <c r="E21" s="14" t="inlineStr">
        <is>
          <t>1. Set Tribe=Better + City=Dubai + Day=Sat</t>
        </is>
      </c>
      <c r="F21" s="14" t="inlineStr">
        <is>
          <t>Only Saturday Better-tribe Dubai sessions visible. Counter updates</t>
        </is>
      </c>
      <c r="G21" s="12" t="inlineStr">
        <is>
          <t>Not Tested</t>
        </is>
      </c>
      <c r="H21" s="12" t="inlineStr"/>
      <c r="I21" s="14" t="inlineStr"/>
    </row>
    <row r="22" ht="48" customHeight="1">
      <c r="A22" s="11" t="inlineStr">
        <is>
          <t>A-018</t>
        </is>
      </c>
      <c r="B22" s="11" t="inlineStr">
        <is>
          <t>P0</t>
        </is>
      </c>
      <c r="C22" s="12" t="inlineStr">
        <is>
          <t>Sessions</t>
        </is>
      </c>
      <c r="D22" s="13" t="inlineStr">
        <is>
          <t>Session card opens detail</t>
        </is>
      </c>
      <c r="E22" s="14" t="inlineStr">
        <is>
          <t>1. Click any session in list or popover</t>
        </is>
      </c>
      <c r="F22" s="14" t="inlineStr">
        <is>
          <t>Modal/page shows name, intro video (if any), description, location maps link, capacity, sponsor, coach card, Book button</t>
        </is>
      </c>
      <c r="G22" s="12" t="inlineStr">
        <is>
          <t>Not Tested</t>
        </is>
      </c>
      <c r="H22" s="12" t="inlineStr"/>
      <c r="I22" s="14" t="inlineStr"/>
    </row>
    <row r="23" ht="48" customHeight="1">
      <c r="A23" s="11" t="inlineStr">
        <is>
          <t>A-019</t>
        </is>
      </c>
      <c r="B23" s="11" t="inlineStr">
        <is>
          <t>P0</t>
        </is>
      </c>
      <c r="C23" s="12" t="inlineStr">
        <is>
          <t>Sessions</t>
        </is>
      </c>
      <c r="D23" s="13" t="inlineStr">
        <is>
          <t>Book a session → confirmation</t>
        </is>
      </c>
      <c r="E23" s="14" t="inlineStr">
        <is>
          <t>1. On a free session detail, click 'Book'</t>
        </is>
      </c>
      <c r="F23" s="14" t="inlineStr">
        <is>
          <t>Confirmation toast + QR card appears. Capacity decrements by 1 on refresh. Booking added to My Sessions</t>
        </is>
      </c>
      <c r="G23" s="12" t="inlineStr">
        <is>
          <t>Not Tested</t>
        </is>
      </c>
      <c r="H23" s="12" t="inlineStr"/>
      <c r="I23" s="14" t="inlineStr"/>
    </row>
    <row r="24" ht="48" customHeight="1">
      <c r="A24" s="11" t="inlineStr">
        <is>
          <t>A-020</t>
        </is>
      </c>
      <c r="B24" s="11" t="inlineStr">
        <is>
          <t>P0</t>
        </is>
      </c>
      <c r="C24" s="12" t="inlineStr">
        <is>
          <t>Sessions</t>
        </is>
      </c>
      <c r="D24" s="13" t="inlineStr">
        <is>
          <t>QR code generates after booking</t>
        </is>
      </c>
      <c r="E24" s="14" t="inlineStr">
        <is>
          <t>1. View booking from My Sessions</t>
        </is>
      </c>
      <c r="F24" s="14" t="inlineStr">
        <is>
          <t>QR code renders, encodes booking token. Scannable by an ambassador's scanner with no errors</t>
        </is>
      </c>
      <c r="G24" s="12" t="inlineStr">
        <is>
          <t>Not Tested</t>
        </is>
      </c>
      <c r="H24" s="12" t="inlineStr"/>
      <c r="I24" s="14" t="inlineStr"/>
    </row>
    <row r="25" ht="48" customHeight="1">
      <c r="A25" s="11" t="inlineStr">
        <is>
          <t>A-021</t>
        </is>
      </c>
      <c r="B25" s="11" t="inlineStr">
        <is>
          <t>P0</t>
        </is>
      </c>
      <c r="C25" s="12" t="inlineStr">
        <is>
          <t>Sessions</t>
        </is>
      </c>
      <c r="D25" s="13" t="inlineStr">
        <is>
          <t>Cancel booking</t>
        </is>
      </c>
      <c r="E25" s="14" t="inlineStr">
        <is>
          <t>1. From My Sessions, click 'Cancel' on a future booking</t>
        </is>
      </c>
      <c r="F25" s="14" t="inlineStr">
        <is>
          <t>Confirm dialog. After confirm: booking moves out of upcoming, capacity restored by 1, QR no longer scannable</t>
        </is>
      </c>
      <c r="G25" s="12" t="inlineStr">
        <is>
          <t>Not Tested</t>
        </is>
      </c>
      <c r="H25" s="12" t="inlineStr"/>
      <c r="I25" s="14" t="inlineStr"/>
    </row>
  </sheetData>
  <autoFilter ref="A4:I25"/>
  <mergeCells count="2">
    <mergeCell ref="A1:I1"/>
    <mergeCell ref="A2:I2"/>
  </mergeCells>
  <conditionalFormatting sqref="G5:G2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conditionalFormatting sqref="B5:B25">
    <cfRule type="cellIs" priority="4" operator="equal" dxfId="1">
      <formula>"P0"</formula>
    </cfRule>
    <cfRule type="cellIs" priority="5" operator="equal" dxfId="2">
      <formula>"P1"</formula>
    </cfRule>
    <cfRule type="cellIs" priority="6" operator="equal" dxfId="3">
      <formula>"P2"</formula>
    </cfRule>
  </conditionalFormatting>
  <dataValidations count="3">
    <dataValidation sqref="G5:G25" showDropDown="0" showInputMessage="0" showErrorMessage="0" allowBlank="0" type="list">
      <formula1>"Not Tested,Pass,Fail,Blocked,N/A"</formula1>
    </dataValidation>
    <dataValidation sqref="H5:H25" showDropDown="0" showInputMessage="0" showErrorMessage="0" allowBlank="1" type="list">
      <formula1>"Chrome,Safari,Firefox,Edge,Mobile Safari,Mobile Chrome,Multi"</formula1>
    </dataValidation>
    <dataValidation sqref="B5:B25" showDropDown="0" showInputMessage="0" showErrorMessage="0" allowBlank="0" type="list">
      <formula1>"P0,P1,P2"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6" customWidth="1" min="3" max="3"/>
    <col width="38" customWidth="1" min="4" max="4"/>
    <col width="56" customWidth="1" min="5" max="5"/>
    <col width="46" customWidth="1" min="6" max="6"/>
    <col width="13" customWidth="1" min="7" max="7"/>
    <col width="16" customWidth="1" min="8" max="8"/>
    <col width="36" customWidth="1" min="9" max="9"/>
  </cols>
  <sheetData>
    <row r="1" ht="26" customHeight="1">
      <c r="A1" s="9" t="inlineStr">
        <is>
          <t>ATP Pre-Launch Tests — Doha</t>
        </is>
      </c>
    </row>
    <row r="2" ht="16" customHeight="1">
      <c r="A2" s="2" t="inlineStr">
        <is>
          <t>Walk each row, set Status, leave Notes if Fail/Blocked. Filter the Status column when retesting.</t>
        </is>
      </c>
    </row>
    <row r="4" ht="32" customHeight="1">
      <c r="A4" s="10" t="inlineStr">
        <is>
          <t>Test ID</t>
        </is>
      </c>
      <c r="B4" s="10" t="inlineStr">
        <is>
          <t>Priority</t>
        </is>
      </c>
      <c r="C4" s="10" t="inlineStr">
        <is>
          <t>Area</t>
        </is>
      </c>
      <c r="D4" s="10" t="inlineStr">
        <is>
          <t>Title</t>
        </is>
      </c>
      <c r="E4" s="10" t="inlineStr">
        <is>
          <t>Steps to reproduce</t>
        </is>
      </c>
      <c r="F4" s="10" t="inlineStr">
        <is>
          <t>Expected result</t>
        </is>
      </c>
      <c r="G4" s="10" t="inlineStr">
        <is>
          <t>Status</t>
        </is>
      </c>
      <c r="H4" s="10" t="inlineStr">
        <is>
          <t>Browser / Device</t>
        </is>
      </c>
      <c r="I4" s="10" t="inlineStr">
        <is>
          <t>Notes</t>
        </is>
      </c>
    </row>
    <row r="5" ht="48" customHeight="1">
      <c r="A5" s="11" t="inlineStr">
        <is>
          <t>D-001</t>
        </is>
      </c>
      <c r="B5" s="11" t="inlineStr">
        <is>
          <t>P0</t>
        </is>
      </c>
      <c r="C5" s="12" t="inlineStr">
        <is>
          <t>Rewards</t>
        </is>
      </c>
      <c r="D5" s="13" t="inlineStr">
        <is>
          <t>Points balance displays correctly</t>
        </is>
      </c>
      <c r="E5" s="14" t="inlineStr">
        <is>
          <t>1. Open /profile.html → Wallet tab (or /rewards if present)</t>
        </is>
      </c>
      <c r="F5" s="14" t="inlineStr">
        <is>
          <t>Current points balance matches /api/points/balance. Shown big + bold</t>
        </is>
      </c>
      <c r="G5" s="12" t="inlineStr">
        <is>
          <t>Not Tested</t>
        </is>
      </c>
      <c r="H5" s="12" t="inlineStr"/>
      <c r="I5" s="14" t="inlineStr"/>
    </row>
    <row r="6" ht="48" customHeight="1">
      <c r="A6" s="11" t="inlineStr">
        <is>
          <t>D-002</t>
        </is>
      </c>
      <c r="B6" s="11" t="inlineStr">
        <is>
          <t>P0</t>
        </is>
      </c>
      <c r="C6" s="12" t="inlineStr">
        <is>
          <t>Rewards</t>
        </is>
      </c>
      <c r="D6" s="13" t="inlineStr">
        <is>
          <t>Points history table loads</t>
        </is>
      </c>
      <c r="E6" s="14" t="inlineStr">
        <is>
          <t>1. Open transaction history widget</t>
        </is>
      </c>
      <c r="F6" s="14" t="inlineStr">
        <is>
          <t>Recent ledger entries listed with reason, +/- amount, running balance, date</t>
        </is>
      </c>
      <c r="G6" s="12" t="inlineStr">
        <is>
          <t>Not Tested</t>
        </is>
      </c>
      <c r="H6" s="12" t="inlineStr"/>
      <c r="I6" s="14" t="inlineStr"/>
    </row>
    <row r="7" ht="48" customHeight="1">
      <c r="A7" s="11" t="inlineStr">
        <is>
          <t>D-003</t>
        </is>
      </c>
      <c r="B7" s="11" t="inlineStr">
        <is>
          <t>P0</t>
        </is>
      </c>
      <c r="C7" s="12" t="inlineStr">
        <is>
          <t>Rewards</t>
        </is>
      </c>
      <c r="D7" s="13" t="inlineStr">
        <is>
          <t>Offers grid loads on /offers.html</t>
        </is>
      </c>
      <c r="E7" s="14" t="inlineStr">
        <is>
          <t>1. Open /offers.html</t>
        </is>
      </c>
      <c r="F7" s="14" t="inlineStr">
        <is>
          <t>Cards grid of available offers, each with image, name, points required, partner logo</t>
        </is>
      </c>
      <c r="G7" s="12" t="inlineStr">
        <is>
          <t>Not Tested</t>
        </is>
      </c>
      <c r="H7" s="12" t="inlineStr"/>
      <c r="I7" s="14" t="inlineStr"/>
    </row>
    <row r="8" ht="48" customHeight="1">
      <c r="A8" s="11" t="inlineStr">
        <is>
          <t>D-004</t>
        </is>
      </c>
      <c r="B8" s="11" t="inlineStr">
        <is>
          <t>P0</t>
        </is>
      </c>
      <c r="C8" s="12" t="inlineStr">
        <is>
          <t>Rewards</t>
        </is>
      </c>
      <c r="D8" s="13" t="inlineStr">
        <is>
          <t>Click offer → detail page</t>
        </is>
      </c>
      <c r="E8" s="14" t="inlineStr">
        <is>
          <t>1. Click any offer card</t>
        </is>
      </c>
      <c r="F8" s="14" t="inlineStr">
        <is>
          <t>Detail page with description, T&amp;Cs, partner info, Redeem button</t>
        </is>
      </c>
      <c r="G8" s="12" t="inlineStr">
        <is>
          <t>Not Tested</t>
        </is>
      </c>
      <c r="H8" s="12" t="inlineStr"/>
      <c r="I8" s="14" t="inlineStr"/>
    </row>
    <row r="9" ht="48" customHeight="1">
      <c r="A9" s="11" t="inlineStr">
        <is>
          <t>D-005</t>
        </is>
      </c>
      <c r="B9" s="11" t="inlineStr">
        <is>
          <t>P0</t>
        </is>
      </c>
      <c r="C9" s="12" t="inlineStr">
        <is>
          <t>Rewards</t>
        </is>
      </c>
      <c r="D9" s="13" t="inlineStr">
        <is>
          <t>Redeem with points → confirmation</t>
        </is>
      </c>
      <c r="E9" s="14" t="inlineStr">
        <is>
          <t>1. On an offer with sufficient points, click Redeem  2. Confirm</t>
        </is>
      </c>
      <c r="F9" s="14" t="inlineStr">
        <is>
          <t>Points debited, redemption code shown (ATP-XXXX-XXXX), toast confirms, code visible in Wallet</t>
        </is>
      </c>
      <c r="G9" s="12" t="inlineStr">
        <is>
          <t>Not Tested</t>
        </is>
      </c>
      <c r="H9" s="12" t="inlineStr"/>
      <c r="I9" s="14" t="inlineStr"/>
    </row>
    <row r="10" ht="48" customHeight="1">
      <c r="A10" s="11" t="inlineStr">
        <is>
          <t>D-006</t>
        </is>
      </c>
      <c r="B10" s="11" t="inlineStr">
        <is>
          <t>P1</t>
        </is>
      </c>
      <c r="C10" s="12" t="inlineStr">
        <is>
          <t>Rewards</t>
        </is>
      </c>
      <c r="D10" s="13" t="inlineStr">
        <is>
          <t>Redemption code visible in profile</t>
        </is>
      </c>
      <c r="E10" s="14" t="inlineStr">
        <is>
          <t>1. After a redemption, open Profile → Wallet (or Store → My codes)</t>
        </is>
      </c>
      <c r="F10" s="14" t="inlineStr">
        <is>
          <t>Issued codes listed with status 'issued' until used</t>
        </is>
      </c>
      <c r="G10" s="12" t="inlineStr">
        <is>
          <t>Not Tested</t>
        </is>
      </c>
      <c r="H10" s="12" t="inlineStr"/>
      <c r="I10" s="14" t="inlineStr"/>
    </row>
    <row r="11" ht="48" customHeight="1">
      <c r="A11" s="11" t="inlineStr">
        <is>
          <t>D-007</t>
        </is>
      </c>
      <c r="B11" s="11" t="inlineStr">
        <is>
          <t>P1</t>
        </is>
      </c>
      <c r="C11" s="12" t="inlineStr">
        <is>
          <t>Rewards</t>
        </is>
      </c>
      <c r="D11" s="13" t="inlineStr">
        <is>
          <t>Insufficient points blocks redemption</t>
        </is>
      </c>
      <c r="E11" s="14" t="inlineStr">
        <is>
          <t>1. Try to redeem an offer that costs more than your balance</t>
        </is>
      </c>
      <c r="F11" s="14" t="inlineStr">
        <is>
          <t>Redeem button disabled or shows clear error. Points not debited</t>
        </is>
      </c>
      <c r="G11" s="12" t="inlineStr">
        <is>
          <t>Not Tested</t>
        </is>
      </c>
      <c r="H11" s="12" t="inlineStr"/>
      <c r="I11" s="14" t="inlineStr"/>
    </row>
    <row r="12" ht="48" customHeight="1">
      <c r="A12" s="11" t="inlineStr">
        <is>
          <t>D-008</t>
        </is>
      </c>
      <c r="B12" s="11" t="inlineStr">
        <is>
          <t>P0</t>
        </is>
      </c>
      <c r="C12" s="12" t="inlineStr">
        <is>
          <t>Store</t>
        </is>
      </c>
      <c r="D12" s="13" t="inlineStr">
        <is>
          <t>Store page loads with products</t>
        </is>
      </c>
      <c r="E12" s="14" t="inlineStr">
        <is>
          <t>1. Open /store.html</t>
        </is>
      </c>
      <c r="F12" s="14" t="inlineStr">
        <is>
          <t>Product carousel/grid loads from Shopify. Each card: image, name, price, type</t>
        </is>
      </c>
      <c r="G12" s="12" t="inlineStr">
        <is>
          <t>Not Tested</t>
        </is>
      </c>
      <c r="H12" s="12" t="inlineStr"/>
      <c r="I12" s="14" t="inlineStr"/>
    </row>
    <row r="13" ht="48" customHeight="1">
      <c r="A13" s="11" t="inlineStr">
        <is>
          <t>D-009</t>
        </is>
      </c>
      <c r="B13" s="11" t="inlineStr">
        <is>
          <t>P0</t>
        </is>
      </c>
      <c r="C13" s="12" t="inlineStr">
        <is>
          <t>Store</t>
        </is>
      </c>
      <c r="D13" s="13" t="inlineStr">
        <is>
          <t>Click product → detail</t>
        </is>
      </c>
      <c r="E13" s="14" t="inlineStr">
        <is>
          <t>1. Click any product card</t>
        </is>
      </c>
      <c r="F13" s="14" t="inlineStr">
        <is>
          <t>Either opens product detail (modal/page) or redirects to shop.atthepark.world product page</t>
        </is>
      </c>
      <c r="G13" s="12" t="inlineStr">
        <is>
          <t>Not Tested</t>
        </is>
      </c>
      <c r="H13" s="12" t="inlineStr"/>
      <c r="I13" s="14" t="inlineStr"/>
    </row>
    <row r="14" ht="48" customHeight="1">
      <c r="A14" s="11" t="inlineStr">
        <is>
          <t>D-010</t>
        </is>
      </c>
      <c r="B14" s="11" t="inlineStr">
        <is>
          <t>P1</t>
        </is>
      </c>
      <c r="C14" s="12" t="inlineStr">
        <is>
          <t>Store</t>
        </is>
      </c>
      <c r="D14" s="13" t="inlineStr">
        <is>
          <t>Add to cart updates badge</t>
        </is>
      </c>
      <c r="E14" s="14" t="inlineStr">
        <is>
          <t>1. Add a product to cart  2. Look at top-right cart icon</t>
        </is>
      </c>
      <c r="F14" s="14" t="inlineStr">
        <is>
          <t>Cart count badge increments. Persists across page nav</t>
        </is>
      </c>
      <c r="G14" s="12" t="inlineStr">
        <is>
          <t>Not Tested</t>
        </is>
      </c>
      <c r="H14" s="12" t="inlineStr"/>
      <c r="I14" s="14" t="inlineStr"/>
    </row>
    <row r="15" ht="48" customHeight="1">
      <c r="A15" s="11" t="inlineStr">
        <is>
          <t>D-011</t>
        </is>
      </c>
      <c r="B15" s="11" t="inlineStr">
        <is>
          <t>P1</t>
        </is>
      </c>
      <c r="C15" s="12" t="inlineStr">
        <is>
          <t>Store</t>
        </is>
      </c>
      <c r="D15" s="13" t="inlineStr">
        <is>
          <t>Checkout via Shopify opens</t>
        </is>
      </c>
      <c r="E15" s="14" t="inlineStr">
        <is>
          <t>1. With items in cart, click Checkout</t>
        </is>
      </c>
      <c r="F15" s="14" t="inlineStr">
        <is>
          <t>Either embedded Shopify checkout opens or redirect to Shopify hosted checkout. Cart contents preserved</t>
        </is>
      </c>
      <c r="G15" s="12" t="inlineStr">
        <is>
          <t>Not Tested</t>
        </is>
      </c>
      <c r="H15" s="12" t="inlineStr"/>
      <c r="I15" s="14" t="inlineStr"/>
    </row>
    <row r="16" ht="48" customHeight="1">
      <c r="A16" s="11" t="inlineStr">
        <is>
          <t>D-012</t>
        </is>
      </c>
      <c r="B16" s="11" t="inlineStr">
        <is>
          <t>P2</t>
        </is>
      </c>
      <c r="C16" s="12" t="inlineStr">
        <is>
          <t>Store</t>
        </is>
      </c>
      <c r="D16" s="13" t="inlineStr">
        <is>
          <t>Wishlist add/remove works</t>
        </is>
      </c>
      <c r="E16" s="14" t="inlineStr">
        <is>
          <t>1. Heart a product to add to wishlist  2. Remove from wishlist</t>
        </is>
      </c>
      <c r="F16" s="14" t="inlineStr">
        <is>
          <t>Add/remove toggles update wishlist persistently across sessions</t>
        </is>
      </c>
      <c r="G16" s="12" t="inlineStr">
        <is>
          <t>Not Tested</t>
        </is>
      </c>
      <c r="H16" s="12" t="inlineStr"/>
      <c r="I16" s="14" t="inlineStr"/>
    </row>
    <row r="17" ht="48" customHeight="1">
      <c r="A17" s="11" t="inlineStr">
        <is>
          <t>D-013</t>
        </is>
      </c>
      <c r="B17" s="11" t="inlineStr">
        <is>
          <t>P0</t>
        </is>
      </c>
      <c r="C17" s="12" t="inlineStr">
        <is>
          <t>Referrals</t>
        </is>
      </c>
      <c r="D17" s="13" t="inlineStr">
        <is>
          <t>Referral code shows on profile</t>
        </is>
      </c>
      <c r="E17" s="14" t="inlineStr">
        <is>
          <t>1. Open /profile.html</t>
        </is>
      </c>
      <c r="F17" s="14" t="inlineStr">
        <is>
          <t>'Your referral code' card shows a code like 'frederico-dve' with 'Earn 50 pts' copy</t>
        </is>
      </c>
      <c r="G17" s="12" t="inlineStr">
        <is>
          <t>Not Tested</t>
        </is>
      </c>
      <c r="H17" s="12" t="inlineStr"/>
      <c r="I17" s="14" t="inlineStr"/>
    </row>
    <row r="18" ht="48" customHeight="1">
      <c r="A18" s="11" t="inlineStr">
        <is>
          <t>D-014</t>
        </is>
      </c>
      <c r="B18" s="11" t="inlineStr">
        <is>
          <t>P0</t>
        </is>
      </c>
      <c r="C18" s="12" t="inlineStr">
        <is>
          <t>Referrals</t>
        </is>
      </c>
      <c r="D18" s="13" t="inlineStr">
        <is>
          <t>WhatsApp share button works</t>
        </is>
      </c>
      <c r="E18" s="14" t="inlineStr">
        <is>
          <t>1. Click the WhatsApp button on the referral card</t>
        </is>
      </c>
      <c r="F18" s="14" t="inlineStr">
        <is>
          <t>Opens WhatsApp (web or app) with a prefilled message including the referral code and signup URL</t>
        </is>
      </c>
      <c r="G18" s="12" t="inlineStr">
        <is>
          <t>Not Tested</t>
        </is>
      </c>
      <c r="H18" s="12" t="inlineStr"/>
      <c r="I18" s="14" t="inlineStr"/>
    </row>
    <row r="19" ht="48" customHeight="1">
      <c r="A19" s="11" t="inlineStr">
        <is>
          <t>D-015</t>
        </is>
      </c>
      <c r="B19" s="11" t="inlineStr">
        <is>
          <t>P0</t>
        </is>
      </c>
      <c r="C19" s="12" t="inlineStr">
        <is>
          <t>Referrals</t>
        </is>
      </c>
      <c r="D19" s="13" t="inlineStr">
        <is>
          <t>Copy code button works</t>
        </is>
      </c>
      <c r="E19" s="14" t="inlineStr">
        <is>
          <t>1. Click the Copy button on the referral card</t>
        </is>
      </c>
      <c r="F19" s="14" t="inlineStr">
        <is>
          <t>Code copied to clipboard. Toast confirms 'Copied'. Paste into any field returns the same code</t>
        </is>
      </c>
      <c r="G19" s="12" t="inlineStr">
        <is>
          <t>Not Tested</t>
        </is>
      </c>
      <c r="H19" s="12" t="inlineStr"/>
      <c r="I19" s="14" t="inlineStr"/>
    </row>
    <row r="20" ht="48" customHeight="1">
      <c r="A20" s="11" t="inlineStr">
        <is>
          <t>D-016</t>
        </is>
      </c>
      <c r="B20" s="11" t="inlineStr">
        <is>
          <t>P1</t>
        </is>
      </c>
      <c r="C20" s="12" t="inlineStr">
        <is>
          <t>Referrals</t>
        </is>
      </c>
      <c r="D20" s="13" t="inlineStr">
        <is>
          <t>New signup with referral code awards points</t>
        </is>
      </c>
      <c r="E20" s="14" t="inlineStr">
        <is>
          <t>1. Sign up a fresh test account with another member's code in the referral field  2. Both accounts check Wallet after first session</t>
        </is>
      </c>
      <c r="F20" s="14" t="inlineStr">
        <is>
          <t>Referrer gets +50 pts on referee's first attended session; referee unaffected. Ledger entries on both sides</t>
        </is>
      </c>
      <c r="G20" s="12" t="inlineStr">
        <is>
          <t>Not Tested</t>
        </is>
      </c>
      <c r="H20" s="12" t="inlineStr"/>
      <c r="I20" s="14" t="inlineStr"/>
    </row>
    <row r="21" ht="48" customHeight="1">
      <c r="A21" s="11" t="inlineStr">
        <is>
          <t>D-017</t>
        </is>
      </c>
      <c r="B21" s="11" t="inlineStr">
        <is>
          <t>P0</t>
        </is>
      </c>
      <c r="C21" s="12" t="inlineStr">
        <is>
          <t>Ambassador</t>
        </is>
      </c>
      <c r="D21" s="13" t="inlineStr">
        <is>
          <t>Ambassador tab visible on profile</t>
        </is>
      </c>
      <c r="E21" s="14" t="inlineStr">
        <is>
          <t>1. Log in as an ambassador  2. Open /profile.html  3. Look at tabs / menu</t>
        </is>
      </c>
      <c r="F21" s="14" t="inlineStr">
        <is>
          <t>Ambassador menu item visible. Click → Ambassador panel with scanner button + activity log</t>
        </is>
      </c>
      <c r="G21" s="12" t="inlineStr">
        <is>
          <t>Not Tested</t>
        </is>
      </c>
      <c r="H21" s="12" t="inlineStr"/>
      <c r="I21" s="14" t="inlineStr"/>
    </row>
    <row r="22" ht="48" customHeight="1">
      <c r="A22" s="11" t="inlineStr">
        <is>
          <t>D-018</t>
        </is>
      </c>
      <c r="B22" s="11" t="inlineStr">
        <is>
          <t>P1</t>
        </is>
      </c>
      <c r="C22" s="12" t="inlineStr">
        <is>
          <t>Ambassador</t>
        </is>
      </c>
      <c r="D22" s="13" t="inlineStr">
        <is>
          <t>Scanner opens (camera permission flow)</t>
        </is>
      </c>
      <c r="E22" s="14" t="inlineStr">
        <is>
          <t>1. On ambassador tab, click 'Scan check-in'  2. Allow camera</t>
        </is>
      </c>
      <c r="F22" s="14" t="inlineStr">
        <is>
          <t>Camera preview opens. No JS errors. Scanner is ready for QR codes</t>
        </is>
      </c>
      <c r="G22" s="12" t="inlineStr">
        <is>
          <t>Not Tested</t>
        </is>
      </c>
      <c r="H22" s="12" t="inlineStr"/>
      <c r="I22" s="14" t="inlineStr"/>
    </row>
    <row r="23" ht="48" customHeight="1">
      <c r="A23" s="11" t="inlineStr">
        <is>
          <t>D-019</t>
        </is>
      </c>
      <c r="B23" s="11" t="inlineStr">
        <is>
          <t>P1</t>
        </is>
      </c>
      <c r="C23" s="12" t="inlineStr">
        <is>
          <t>Ambassador</t>
        </is>
      </c>
      <c r="D23" s="13" t="inlineStr">
        <is>
          <t>Scan QR → marks attendance</t>
        </is>
      </c>
      <c r="E23" s="14" t="inlineStr">
        <is>
          <t>1. Scan a valid booking QR  2. Confirm</t>
        </is>
      </c>
      <c r="F23" s="14" t="inlineStr">
        <is>
          <t>Booking marked attended, member gets +pts via ledger, success toast. Re-scanning same QR blocked</t>
        </is>
      </c>
      <c r="G23" s="12" t="inlineStr">
        <is>
          <t>Not Tested</t>
        </is>
      </c>
      <c r="H23" s="12" t="inlineStr"/>
      <c r="I23" s="14" t="inlineStr"/>
    </row>
    <row r="24" ht="48" customHeight="1">
      <c r="A24" s="11" t="inlineStr">
        <is>
          <t>D-020</t>
        </is>
      </c>
      <c r="B24" s="11" t="inlineStr">
        <is>
          <t>P1</t>
        </is>
      </c>
      <c r="C24" s="12" t="inlineStr">
        <is>
          <t>Newsletter</t>
        </is>
      </c>
      <c r="D24" s="13" t="inlineStr">
        <is>
          <t>Newsletter signup widget works</t>
        </is>
      </c>
      <c r="E24" s="14" t="inlineStr">
        <is>
          <t>1. Find newsletter signup widget on homepage  2. Enter email  3. Submit</t>
        </is>
      </c>
      <c r="F24" s="14" t="inlineStr">
        <is>
          <t>Success toast. Email saved to subscribers. Confirmation email arrives within 60 s</t>
        </is>
      </c>
      <c r="G24" s="12" t="inlineStr">
        <is>
          <t>Not Tested</t>
        </is>
      </c>
      <c r="H24" s="12" t="inlineStr"/>
      <c r="I24" s="14" t="inlineStr"/>
    </row>
    <row r="25" ht="48" customHeight="1">
      <c r="A25" s="11" t="inlineStr">
        <is>
          <t>D-021</t>
        </is>
      </c>
      <c r="B25" s="11" t="inlineStr">
        <is>
          <t>P2</t>
        </is>
      </c>
      <c r="C25" s="12" t="inlineStr">
        <is>
          <t>Cookies</t>
        </is>
      </c>
      <c r="D25" s="13" t="inlineStr">
        <is>
          <t>Cookie consent banner shows for new visitors</t>
        </is>
      </c>
      <c r="E25" s="14" t="inlineStr">
        <is>
          <t>1. Open homepage in a fresh incognito  2. Wait for the banner</t>
        </is>
      </c>
      <c r="F25" s="14" t="inlineStr">
        <is>
          <t>Banner appears within 1 s. Decline is the privacy-default. Accept persists; reload doesn't re-show</t>
        </is>
      </c>
      <c r="G25" s="12" t="inlineStr">
        <is>
          <t>Not Tested</t>
        </is>
      </c>
      <c r="H25" s="12" t="inlineStr"/>
      <c r="I25" s="14" t="inlineStr"/>
    </row>
  </sheetData>
  <autoFilter ref="A4:I25"/>
  <mergeCells count="2">
    <mergeCell ref="A1:I1"/>
    <mergeCell ref="A2:I2"/>
  </mergeCells>
  <conditionalFormatting sqref="G5:G2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conditionalFormatting sqref="B5:B25">
    <cfRule type="cellIs" priority="4" operator="equal" dxfId="1">
      <formula>"P0"</formula>
    </cfRule>
    <cfRule type="cellIs" priority="5" operator="equal" dxfId="2">
      <formula>"P1"</formula>
    </cfRule>
    <cfRule type="cellIs" priority="6" operator="equal" dxfId="3">
      <formula>"P2"</formula>
    </cfRule>
  </conditionalFormatting>
  <dataValidations count="3">
    <dataValidation sqref="G5:G25" showDropDown="0" showInputMessage="0" showErrorMessage="0" allowBlank="0" type="list">
      <formula1>"Not Tested,Pass,Fail,Blocked,N/A"</formula1>
    </dataValidation>
    <dataValidation sqref="H5:H25" showDropDown="0" showInputMessage="0" showErrorMessage="0" allowBlank="1" type="list">
      <formula1>"Chrome,Safari,Firefox,Edge,Mobile Safari,Mobile Chrome,Multi"</formula1>
    </dataValidation>
    <dataValidation sqref="B5:B25" showDropDown="0" showInputMessage="0" showErrorMessage="0" allowBlank="0" type="list">
      <formula1>"P0,P1,P2"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16" customWidth="1" min="3" max="3"/>
    <col width="38" customWidth="1" min="4" max="4"/>
    <col width="56" customWidth="1" min="5" max="5"/>
    <col width="46" customWidth="1" min="6" max="6"/>
    <col width="13" customWidth="1" min="7" max="7"/>
    <col width="16" customWidth="1" min="8" max="8"/>
    <col width="36" customWidth="1" min="9" max="9"/>
  </cols>
  <sheetData>
    <row r="1" ht="26" customHeight="1">
      <c r="A1" s="9" t="inlineStr">
        <is>
          <t>ATP Pre-Launch Tests — Jay</t>
        </is>
      </c>
    </row>
    <row r="2" ht="16" customHeight="1">
      <c r="A2" s="2" t="inlineStr">
        <is>
          <t>Walk each row, set Status, leave Notes if Fail/Blocked. Filter the Status column when retesting.</t>
        </is>
      </c>
    </row>
    <row r="4" ht="32" customHeight="1">
      <c r="A4" s="10" t="inlineStr">
        <is>
          <t>Test ID</t>
        </is>
      </c>
      <c r="B4" s="10" t="inlineStr">
        <is>
          <t>Priority</t>
        </is>
      </c>
      <c r="C4" s="10" t="inlineStr">
        <is>
          <t>Area</t>
        </is>
      </c>
      <c r="D4" s="10" t="inlineStr">
        <is>
          <t>Title</t>
        </is>
      </c>
      <c r="E4" s="10" t="inlineStr">
        <is>
          <t>Steps to reproduce</t>
        </is>
      </c>
      <c r="F4" s="10" t="inlineStr">
        <is>
          <t>Expected result</t>
        </is>
      </c>
      <c r="G4" s="10" t="inlineStr">
        <is>
          <t>Status</t>
        </is>
      </c>
      <c r="H4" s="10" t="inlineStr">
        <is>
          <t>Browser / Device</t>
        </is>
      </c>
      <c r="I4" s="10" t="inlineStr">
        <is>
          <t>Notes</t>
        </is>
      </c>
    </row>
    <row r="5" ht="48" customHeight="1">
      <c r="A5" s="11" t="inlineStr">
        <is>
          <t>J-001</t>
        </is>
      </c>
      <c r="B5" s="11" t="inlineStr">
        <is>
          <t>P0</t>
        </is>
      </c>
      <c r="C5" s="12" t="inlineStr">
        <is>
          <t>Mobile</t>
        </is>
      </c>
      <c r="D5" s="13" t="inlineStr">
        <is>
          <t>Homepage renders correctly on iPhone (390 px)</t>
        </is>
      </c>
      <c r="E5" s="14" t="inlineStr">
        <is>
          <t>1. DevTools → iPhone 14 (390 × 844)  2. Open homepage</t>
        </is>
      </c>
      <c r="F5" s="14" t="inlineStr">
        <is>
          <t>Hero readable, 'We are X ATP Members' counter visible, CTAs not clipped, ticker scrolls, footer reachable. No horizontal scroll</t>
        </is>
      </c>
      <c r="G5" s="12" t="inlineStr">
        <is>
          <t>Not Tested</t>
        </is>
      </c>
      <c r="H5" s="12" t="inlineStr"/>
      <c r="I5" s="14" t="inlineStr"/>
    </row>
    <row r="6" ht="48" customHeight="1">
      <c r="A6" s="11" t="inlineStr">
        <is>
          <t>J-002</t>
        </is>
      </c>
      <c r="B6" s="11" t="inlineStr">
        <is>
          <t>P0</t>
        </is>
      </c>
      <c r="C6" s="12" t="inlineStr">
        <is>
          <t>Mobile</t>
        </is>
      </c>
      <c r="D6" s="13" t="inlineStr">
        <is>
          <t>Sessions calendar fits on small screen</t>
        </is>
      </c>
      <c r="E6" s="14" t="inlineStr">
        <is>
          <t>1. iPhone 14 viewport  2. Open /sessions.html</t>
        </is>
      </c>
      <c r="F6" s="14" t="inlineStr">
        <is>
          <t>Calendar grid is fully visible without horizontal scroll. Day cells shrink (~64 px tall via responsive override). Day dots replaced with bullets</t>
        </is>
      </c>
      <c r="G6" s="12" t="inlineStr">
        <is>
          <t>Not Tested</t>
        </is>
      </c>
      <c r="H6" s="12" t="inlineStr"/>
      <c r="I6" s="14" t="inlineStr"/>
    </row>
    <row r="7" ht="48" customHeight="1">
      <c r="A7" s="11" t="inlineStr">
        <is>
          <t>J-003</t>
        </is>
      </c>
      <c r="B7" s="11" t="inlineStr">
        <is>
          <t>P0</t>
        </is>
      </c>
      <c r="C7" s="12" t="inlineStr">
        <is>
          <t>Mobile</t>
        </is>
      </c>
      <c r="D7" s="13" t="inlineStr">
        <is>
          <t>Community feed scrolls smoothly</t>
        </is>
      </c>
      <c r="E7" s="14" t="inlineStr">
        <is>
          <t>1. iPhone 14 viewport  2. Open /community.html  3. Scroll through ~20 posts</t>
        </is>
      </c>
      <c r="F7" s="14" t="inlineStr">
        <is>
          <t>Smooth 60 fps scroll. Images lazy-load. Videos don't auto-play. No layout jank</t>
        </is>
      </c>
      <c r="G7" s="12" t="inlineStr">
        <is>
          <t>Not Tested</t>
        </is>
      </c>
      <c r="H7" s="12" t="inlineStr"/>
      <c r="I7" s="14" t="inlineStr"/>
    </row>
    <row r="8" ht="48" customHeight="1">
      <c r="A8" s="11" t="inlineStr">
        <is>
          <t>J-004</t>
        </is>
      </c>
      <c r="B8" s="11" t="inlineStr">
        <is>
          <t>P0</t>
        </is>
      </c>
      <c r="C8" s="12" t="inlineStr">
        <is>
          <t>Mobile</t>
        </is>
      </c>
      <c r="D8" s="13" t="inlineStr">
        <is>
          <t>Nav hamburger opens menu</t>
        </is>
      </c>
      <c r="E8" s="14" t="inlineStr">
        <is>
          <t>1. iPhone 14 viewport  2. Click hamburger top-right</t>
        </is>
      </c>
      <c r="F8" s="14" t="inlineStr">
        <is>
          <t>Drawer slides in with full nav. Tap outside or X to close. Auth state correct (logged-in chrome OR Log in/Join free)</t>
        </is>
      </c>
      <c r="G8" s="12" t="inlineStr">
        <is>
          <t>Not Tested</t>
        </is>
      </c>
      <c r="H8" s="12" t="inlineStr"/>
      <c r="I8" s="14" t="inlineStr"/>
    </row>
    <row r="9" ht="48" customHeight="1">
      <c r="A9" s="11" t="inlineStr">
        <is>
          <t>J-005</t>
        </is>
      </c>
      <c r="B9" s="11" t="inlineStr">
        <is>
          <t>P0</t>
        </is>
      </c>
      <c r="C9" s="12" t="inlineStr">
        <is>
          <t>Mobile</t>
        </is>
      </c>
      <c r="D9" s="13" t="inlineStr">
        <is>
          <t>Profile page renders on mobile</t>
        </is>
      </c>
      <c r="E9" s="14" t="inlineStr">
        <is>
          <t>1. iPhone 14 viewport  2. Open /profile.html while logged in</t>
        </is>
      </c>
      <c r="F9" s="14" t="inlineStr">
        <is>
          <t>Avatar, name, badges, completion bar, stats grid all readable. Tab nav usable. No content cut off</t>
        </is>
      </c>
      <c r="G9" s="12" t="inlineStr">
        <is>
          <t>Not Tested</t>
        </is>
      </c>
      <c r="H9" s="12" t="inlineStr"/>
      <c r="I9" s="14" t="inlineStr"/>
    </row>
    <row r="10" ht="48" customHeight="1">
      <c r="A10" s="11" t="inlineStr">
        <is>
          <t>J-006</t>
        </is>
      </c>
      <c r="B10" s="11" t="inlineStr">
        <is>
          <t>P0</t>
        </is>
      </c>
      <c r="C10" s="12" t="inlineStr">
        <is>
          <t>Browser</t>
        </is>
      </c>
      <c r="D10" s="13" t="inlineStr">
        <is>
          <t>Chrome (latest) — homepage works</t>
        </is>
      </c>
      <c r="E10" s="14" t="inlineStr">
        <is>
          <t>1. Latest Chrome  2. Open homepage  3. Test login/logout, member counter, hero CTA</t>
        </is>
      </c>
      <c r="F10" s="14" t="inlineStr">
        <is>
          <t>Everything renders + works. No console errors. Lime accents visible. Fonts loaded (Barlow Condensed + DM Sans)</t>
        </is>
      </c>
      <c r="G10" s="12" t="inlineStr">
        <is>
          <t>Not Tested</t>
        </is>
      </c>
      <c r="H10" s="12" t="inlineStr"/>
      <c r="I10" s="14" t="inlineStr"/>
    </row>
    <row r="11" ht="48" customHeight="1">
      <c r="A11" s="11" t="inlineStr">
        <is>
          <t>J-007</t>
        </is>
      </c>
      <c r="B11" s="11" t="inlineStr">
        <is>
          <t>P0</t>
        </is>
      </c>
      <c r="C11" s="12" t="inlineStr">
        <is>
          <t>Browser</t>
        </is>
      </c>
      <c r="D11" s="13" t="inlineStr">
        <is>
          <t>Safari (latest macOS) — homepage works</t>
        </is>
      </c>
      <c r="E11" s="14" t="inlineStr">
        <is>
          <t>1. Latest Safari  2. Same checks</t>
        </is>
      </c>
      <c r="F11" s="14" t="inlineStr">
        <is>
          <t>Same expected behavior. No font fallbacks. Video posters render. SVG icons display</t>
        </is>
      </c>
      <c r="G11" s="12" t="inlineStr">
        <is>
          <t>Not Tested</t>
        </is>
      </c>
      <c r="H11" s="12" t="inlineStr"/>
      <c r="I11" s="14" t="inlineStr"/>
    </row>
    <row r="12" ht="48" customHeight="1">
      <c r="A12" s="11" t="inlineStr">
        <is>
          <t>J-008</t>
        </is>
      </c>
      <c r="B12" s="11" t="inlineStr">
        <is>
          <t>P0</t>
        </is>
      </c>
      <c r="C12" s="12" t="inlineStr">
        <is>
          <t>Browser</t>
        </is>
      </c>
      <c r="D12" s="13" t="inlineStr">
        <is>
          <t>Firefox (latest) — homepage works</t>
        </is>
      </c>
      <c r="E12" s="14" t="inlineStr">
        <is>
          <t>1. Latest Firefox  2. Same checks</t>
        </is>
      </c>
      <c r="F12" s="14" t="inlineStr">
        <is>
          <t>All works. Note any minor visual diffs (acceptable; document them)</t>
        </is>
      </c>
      <c r="G12" s="12" t="inlineStr">
        <is>
          <t>Not Tested</t>
        </is>
      </c>
      <c r="H12" s="12" t="inlineStr"/>
      <c r="I12" s="14" t="inlineStr"/>
    </row>
    <row r="13" ht="48" customHeight="1">
      <c r="A13" s="11" t="inlineStr">
        <is>
          <t>J-009</t>
        </is>
      </c>
      <c r="B13" s="11" t="inlineStr">
        <is>
          <t>P1</t>
        </is>
      </c>
      <c r="C13" s="12" t="inlineStr">
        <is>
          <t>Browser</t>
        </is>
      </c>
      <c r="D13" s="13" t="inlineStr">
        <is>
          <t>Edge (latest) — homepage works</t>
        </is>
      </c>
      <c r="E13" s="14" t="inlineStr">
        <is>
          <t>1. Latest Edge  2. Same checks</t>
        </is>
      </c>
      <c r="F13" s="14" t="inlineStr">
        <is>
          <t>All works. Should match Chrome behavior (same engine)</t>
        </is>
      </c>
      <c r="G13" s="12" t="inlineStr">
        <is>
          <t>Not Tested</t>
        </is>
      </c>
      <c r="H13" s="12" t="inlineStr"/>
      <c r="I13" s="14" t="inlineStr"/>
    </row>
    <row r="14" ht="48" customHeight="1">
      <c r="A14" s="11" t="inlineStr">
        <is>
          <t>J-010</t>
        </is>
      </c>
      <c r="B14" s="11" t="inlineStr">
        <is>
          <t>P2</t>
        </is>
      </c>
      <c r="C14" s="12" t="inlineStr">
        <is>
          <t>Browser</t>
        </is>
      </c>
      <c r="D14" s="13" t="inlineStr">
        <is>
          <t>Safari iOS — touch interactions</t>
        </is>
      </c>
      <c r="E14" s="14" t="inlineStr">
        <is>
          <t>1. Real iPhone with Safari iOS 17+  2. Test the calendar popover (tap), session booking, scroll</t>
        </is>
      </c>
      <c r="F14" s="14" t="inlineStr">
        <is>
          <t>Tap-to-show popover works (no hover on iOS — verify tap toggles). Form inputs don't zoom. Apple sign-in flow available</t>
        </is>
      </c>
      <c r="G14" s="12" t="inlineStr">
        <is>
          <t>Not Tested</t>
        </is>
      </c>
      <c r="H14" s="12" t="inlineStr"/>
      <c r="I14" s="14" t="inlineStr"/>
    </row>
    <row r="15" ht="48" customHeight="1">
      <c r="A15" s="11" t="inlineStr">
        <is>
          <t>J-011</t>
        </is>
      </c>
      <c r="B15" s="11" t="inlineStr">
        <is>
          <t>P1</t>
        </is>
      </c>
      <c r="C15" s="12" t="inlineStr">
        <is>
          <t>Performance</t>
        </is>
      </c>
      <c r="D15" s="13" t="inlineStr">
        <is>
          <t>Homepage loads in &lt;3 s on 4G</t>
        </is>
      </c>
      <c r="E15" s="14" t="inlineStr">
        <is>
          <t>1. DevTools → Network → 4G throttle  2. Hard refresh homepage  3. Note DOMContentLoaded + Load time</t>
        </is>
      </c>
      <c r="F15" s="14" t="inlineStr">
        <is>
          <t>DOMContentLoaded under 2 s, full Load under 3 s. Largest Contentful Paint under 2.5 s</t>
        </is>
      </c>
      <c r="G15" s="12" t="inlineStr">
        <is>
          <t>Not Tested</t>
        </is>
      </c>
      <c r="H15" s="12" t="inlineStr"/>
      <c r="I15" s="14" t="inlineStr"/>
    </row>
    <row r="16" ht="48" customHeight="1">
      <c r="A16" s="11" t="inlineStr">
        <is>
          <t>J-012</t>
        </is>
      </c>
      <c r="B16" s="11" t="inlineStr">
        <is>
          <t>P1</t>
        </is>
      </c>
      <c r="C16" s="12" t="inlineStr">
        <is>
          <t>Performance</t>
        </is>
      </c>
      <c r="D16" s="13" t="inlineStr">
        <is>
          <t>No console errors on any public page</t>
        </is>
      </c>
      <c r="E16" s="14" t="inlineStr">
        <is>
          <t>1. With devtools open, walk through: /index, /sessions, /community, /coaches, /store, /blog, /profile</t>
        </is>
      </c>
      <c r="F16" s="14" t="inlineStr">
        <is>
          <t>Zero red console errors. Warnings acceptable but noted</t>
        </is>
      </c>
      <c r="G16" s="12" t="inlineStr">
        <is>
          <t>Not Tested</t>
        </is>
      </c>
      <c r="H16" s="12" t="inlineStr"/>
      <c r="I16" s="14" t="inlineStr"/>
    </row>
    <row r="17" ht="48" customHeight="1">
      <c r="A17" s="11" t="inlineStr">
        <is>
          <t>J-013</t>
        </is>
      </c>
      <c r="B17" s="11" t="inlineStr">
        <is>
          <t>P2</t>
        </is>
      </c>
      <c r="C17" s="12" t="inlineStr">
        <is>
          <t>Performance</t>
        </is>
      </c>
      <c r="D17" s="13" t="inlineStr">
        <is>
          <t>Lighthouse score &gt;80 on homepage</t>
        </is>
      </c>
      <c r="E17" s="14" t="inlineStr">
        <is>
          <t>1. Chrome DevTools → Lighthouse → Mobile  2. Run on homepage</t>
        </is>
      </c>
      <c r="F17" s="14" t="inlineStr">
        <is>
          <t>Performance &gt;80, Accessibility &gt;85, Best Practices &gt;90, SEO &gt;90. Note any opportunities &gt;100 ms</t>
        </is>
      </c>
      <c r="G17" s="12" t="inlineStr">
        <is>
          <t>Not Tested</t>
        </is>
      </c>
      <c r="H17" s="12" t="inlineStr"/>
      <c r="I17" s="14" t="inlineStr"/>
    </row>
    <row r="18" ht="48" customHeight="1">
      <c r="A18" s="11" t="inlineStr">
        <is>
          <t>J-014</t>
        </is>
      </c>
      <c r="B18" s="11" t="inlineStr">
        <is>
          <t>P0</t>
        </is>
      </c>
      <c r="C18" s="12" t="inlineStr">
        <is>
          <t>Coaches</t>
        </is>
      </c>
      <c r="D18" s="13" t="inlineStr">
        <is>
          <t>Coaches list page loads</t>
        </is>
      </c>
      <c r="E18" s="14" t="inlineStr">
        <is>
          <t>1. Open /coaches.html</t>
        </is>
      </c>
      <c r="F18" s="14" t="inlineStr">
        <is>
          <t>All coach cards render with photo, name, tribe(s), star rating, bio snippet</t>
        </is>
      </c>
      <c r="G18" s="12" t="inlineStr">
        <is>
          <t>Not Tested</t>
        </is>
      </c>
      <c r="H18" s="12" t="inlineStr"/>
      <c r="I18" s="14" t="inlineStr"/>
    </row>
    <row r="19" ht="48" customHeight="1">
      <c r="A19" s="11" t="inlineStr">
        <is>
          <t>J-015</t>
        </is>
      </c>
      <c r="B19" s="11" t="inlineStr">
        <is>
          <t>P0</t>
        </is>
      </c>
      <c r="C19" s="12" t="inlineStr">
        <is>
          <t>Coaches</t>
        </is>
      </c>
      <c r="D19" s="13" t="inlineStr">
        <is>
          <t>Coach profile page loads</t>
        </is>
      </c>
      <c r="E19" s="14" t="inlineStr">
        <is>
          <t>1. Click any coach card</t>
        </is>
      </c>
      <c r="F19" s="14" t="inlineStr">
        <is>
          <t>Coach detail page with full bio, photo, sessions led, feedback/reviews, 'Book 1-on-1' CTA if enabled</t>
        </is>
      </c>
      <c r="G19" s="12" t="inlineStr">
        <is>
          <t>Not Tested</t>
        </is>
      </c>
      <c r="H19" s="12" t="inlineStr"/>
      <c r="I19" s="14" t="inlineStr"/>
    </row>
    <row r="20" ht="48" customHeight="1">
      <c r="A20" s="11" t="inlineStr">
        <is>
          <t>J-016</t>
        </is>
      </c>
      <c r="B20" s="11" t="inlineStr">
        <is>
          <t>P1</t>
        </is>
      </c>
      <c r="C20" s="12" t="inlineStr">
        <is>
          <t>Coaches</t>
        </is>
      </c>
      <c r="D20" s="13" t="inlineStr">
        <is>
          <t>1-on-1 booking flow works</t>
        </is>
      </c>
      <c r="E20" s="14" t="inlineStr">
        <is>
          <t>1. On coach profile, click 'Book 1-on-1'  2. Pick a slot  3. Confirm</t>
        </is>
      </c>
      <c r="F20" s="14" t="inlineStr">
        <is>
          <t>Calendar of available slots shows. Selecting one creates a 1-on-1 booking + confirmation</t>
        </is>
      </c>
      <c r="G20" s="12" t="inlineStr">
        <is>
          <t>Not Tested</t>
        </is>
      </c>
      <c r="H20" s="12" t="inlineStr"/>
      <c r="I20" s="14" t="inlineStr"/>
    </row>
    <row r="21" ht="48" customHeight="1">
      <c r="A21" s="11" t="inlineStr">
        <is>
          <t>J-017</t>
        </is>
      </c>
      <c r="B21" s="11" t="inlineStr">
        <is>
          <t>P1</t>
        </is>
      </c>
      <c r="C21" s="12" t="inlineStr">
        <is>
          <t>Coaches</t>
        </is>
      </c>
      <c r="D21" s="13" t="inlineStr">
        <is>
          <t>Coach feedback/reviews display</t>
        </is>
      </c>
      <c r="E21" s="14" t="inlineStr">
        <is>
          <t>1. Scroll to feedback section on coach profile</t>
        </is>
      </c>
      <c r="F21" s="14" t="inlineStr">
        <is>
          <t>Member ratings + comments listed with author name + date. Stars render correctly</t>
        </is>
      </c>
      <c r="G21" s="12" t="inlineStr">
        <is>
          <t>Not Tested</t>
        </is>
      </c>
      <c r="H21" s="12" t="inlineStr"/>
      <c r="I21" s="14" t="inlineStr"/>
    </row>
    <row r="22" ht="48" customHeight="1">
      <c r="A22" s="11" t="inlineStr">
        <is>
          <t>J-018</t>
        </is>
      </c>
      <c r="B22" s="11" t="inlineStr">
        <is>
          <t>P0</t>
        </is>
      </c>
      <c r="C22" s="12" t="inlineStr">
        <is>
          <t>Admin</t>
        </is>
      </c>
      <c r="D22" s="13" t="inlineStr">
        <is>
          <t>Admin login works</t>
        </is>
      </c>
      <c r="E22" s="14" t="inlineStr">
        <is>
          <t>1. Open /admin  2. Log in with admin credentials</t>
        </is>
      </c>
      <c r="F22" s="14" t="inlineStr">
        <is>
          <t>Lands on admin dashboard with sidebar + stats. Non-admin tokens are rejected</t>
        </is>
      </c>
      <c r="G22" s="12" t="inlineStr">
        <is>
          <t>Not Tested</t>
        </is>
      </c>
      <c r="H22" s="12" t="inlineStr"/>
      <c r="I22" s="14" t="inlineStr"/>
    </row>
    <row r="23" ht="48" customHeight="1">
      <c r="A23" s="11" t="inlineStr">
        <is>
          <t>J-019</t>
        </is>
      </c>
      <c r="B23" s="11" t="inlineStr">
        <is>
          <t>P0</t>
        </is>
      </c>
      <c r="C23" s="12" t="inlineStr">
        <is>
          <t>Admin</t>
        </is>
      </c>
      <c r="D23" s="13" t="inlineStr">
        <is>
          <t>Create new session via admin panel</t>
        </is>
      </c>
      <c r="E23" s="14" t="inlineStr">
        <is>
          <t>1. Admin → Sessions → New session  2. Fill required fields  3. Save</t>
        </is>
      </c>
      <c r="F23" s="14" t="inlineStr">
        <is>
          <t>Session appears in /sessions.html within 1 minute. Capacity, time, coach all correct</t>
        </is>
      </c>
      <c r="G23" s="12" t="inlineStr">
        <is>
          <t>Not Tested</t>
        </is>
      </c>
      <c r="H23" s="12" t="inlineStr"/>
      <c r="I23" s="14" t="inlineStr"/>
    </row>
    <row r="24" ht="48" customHeight="1">
      <c r="A24" s="11" t="inlineStr">
        <is>
          <t>J-020</t>
        </is>
      </c>
      <c r="B24" s="11" t="inlineStr">
        <is>
          <t>P1</t>
        </is>
      </c>
      <c r="C24" s="12" t="inlineStr">
        <is>
          <t>Other</t>
        </is>
      </c>
      <c r="D24" s="13" t="inlineStr">
        <is>
          <t>404 page renders for invalid URLs</t>
        </is>
      </c>
      <c r="E24" s="14" t="inlineStr">
        <is>
          <t>1. Go to /this-does-not-exist.html</t>
        </is>
      </c>
      <c r="F24" s="14" t="inlineStr">
        <is>
          <t>Custom 404 page renders (not the default Render/nginx page). Has nav, footer, link back to home</t>
        </is>
      </c>
      <c r="G24" s="12" t="inlineStr">
        <is>
          <t>Not Tested</t>
        </is>
      </c>
      <c r="H24" s="12" t="inlineStr"/>
      <c r="I24" s="14" t="inlineStr"/>
    </row>
    <row r="25" ht="48" customHeight="1">
      <c r="A25" s="11" t="inlineStr">
        <is>
          <t>J-021</t>
        </is>
      </c>
      <c r="B25" s="11" t="inlineStr">
        <is>
          <t>P1</t>
        </is>
      </c>
      <c r="C25" s="12" t="inlineStr">
        <is>
          <t>Other</t>
        </is>
      </c>
      <c r="D25" s="13" t="inlineStr">
        <is>
          <t>Blog page loads + post detail opens</t>
        </is>
      </c>
      <c r="E25" s="14" t="inlineStr">
        <is>
          <t>1. Open /blog.html  2. Click any post</t>
        </is>
      </c>
      <c r="F25" s="14" t="inlineStr">
        <is>
          <t>Blog index lists posts. Detail page shows full body + author + cover image. OG meta in source</t>
        </is>
      </c>
      <c r="G25" s="12" t="inlineStr">
        <is>
          <t>Not Tested</t>
        </is>
      </c>
      <c r="H25" s="12" t="inlineStr"/>
      <c r="I25" s="14" t="inlineStr"/>
    </row>
  </sheetData>
  <autoFilter ref="A4:I25"/>
  <mergeCells count="2">
    <mergeCell ref="A1:I1"/>
    <mergeCell ref="A2:I2"/>
  </mergeCells>
  <conditionalFormatting sqref="G5:G2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</conditionalFormatting>
  <conditionalFormatting sqref="B5:B25">
    <cfRule type="cellIs" priority="4" operator="equal" dxfId="1">
      <formula>"P0"</formula>
    </cfRule>
    <cfRule type="cellIs" priority="5" operator="equal" dxfId="2">
      <formula>"P1"</formula>
    </cfRule>
    <cfRule type="cellIs" priority="6" operator="equal" dxfId="3">
      <formula>"P2"</formula>
    </cfRule>
  </conditionalFormatting>
  <dataValidations count="3">
    <dataValidation sqref="G5:G25" showDropDown="0" showInputMessage="0" showErrorMessage="0" allowBlank="0" type="list">
      <formula1>"Not Tested,Pass,Fail,Blocked,N/A"</formula1>
    </dataValidation>
    <dataValidation sqref="H5:H25" showDropDown="0" showInputMessage="0" showErrorMessage="0" allowBlank="1" type="list">
      <formula1>"Chrome,Safari,Firefox,Edge,Mobile Safari,Mobile Chrome,Multi"</formula1>
    </dataValidation>
    <dataValidation sqref="B5:B25" showDropDown="0" showInputMessage="0" showErrorMessage="0" allowBlank="0" type="list">
      <formula1>"P0,P1,P2"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9" t="inlineStr">
        <is>
          <t>Pre-Launch Test Summary</t>
        </is>
      </c>
    </row>
    <row r="2">
      <c r="A2" s="2" t="inlineStr">
        <is>
          <t>Live counts. Updates as each owner fills in Status.</t>
        </is>
      </c>
    </row>
    <row r="4" ht="26" customHeight="1">
      <c r="A4" s="15" t="inlineStr">
        <is>
          <t>Owner</t>
        </is>
      </c>
      <c r="B4" s="15" t="inlineStr">
        <is>
          <t>Total</t>
        </is>
      </c>
      <c r="C4" s="15" t="inlineStr">
        <is>
          <t>Pass</t>
        </is>
      </c>
      <c r="D4" s="15" t="inlineStr">
        <is>
          <t>Fail</t>
        </is>
      </c>
      <c r="E4" s="15" t="inlineStr">
        <is>
          <t>Blocked</t>
        </is>
      </c>
      <c r="F4" s="15" t="inlineStr">
        <is>
          <t>Not Tested</t>
        </is>
      </c>
      <c r="G4" s="15" t="inlineStr">
        <is>
          <t>N/A</t>
        </is>
      </c>
      <c r="H4" s="15" t="inlineStr">
        <is>
          <t>Pass %</t>
        </is>
      </c>
    </row>
    <row r="5">
      <c r="A5" s="16" t="inlineStr">
        <is>
          <t>Fredy</t>
        </is>
      </c>
      <c r="B5" s="17">
        <f>COUNTA('Fredy'!G5:G25)</f>
        <v/>
      </c>
      <c r="C5" s="17">
        <f>COUNTIF('Fredy'!G5:G25,"Pass")</f>
        <v/>
      </c>
      <c r="D5" s="17">
        <f>COUNTIF('Fredy'!G5:G25,"Fail")</f>
        <v/>
      </c>
      <c r="E5" s="17">
        <f>COUNTIF('Fredy'!G5:G25,"Blocked")</f>
        <v/>
      </c>
      <c r="F5" s="17">
        <f>COUNTIF('Fredy'!G5:G25,"Not Tested")</f>
        <v/>
      </c>
      <c r="G5" s="17">
        <f>COUNTIF('Fredy'!G5:G25,"N/A")</f>
        <v/>
      </c>
      <c r="H5" s="18">
        <f>IF((B5-G5)=0,0,C5/(B5-G5))</f>
        <v/>
      </c>
    </row>
    <row r="6">
      <c r="A6" s="16" t="inlineStr">
        <is>
          <t>Taty</t>
        </is>
      </c>
      <c r="B6" s="17">
        <f>COUNTA('Taty'!G5:G25)</f>
        <v/>
      </c>
      <c r="C6" s="17">
        <f>COUNTIF('Taty'!G5:G25,"Pass")</f>
        <v/>
      </c>
      <c r="D6" s="17">
        <f>COUNTIF('Taty'!G5:G25,"Fail")</f>
        <v/>
      </c>
      <c r="E6" s="17">
        <f>COUNTIF('Taty'!G5:G25,"Blocked")</f>
        <v/>
      </c>
      <c r="F6" s="17">
        <f>COUNTIF('Taty'!G5:G25,"Not Tested")</f>
        <v/>
      </c>
      <c r="G6" s="17">
        <f>COUNTIF('Taty'!G5:G25,"N/A")</f>
        <v/>
      </c>
      <c r="H6" s="18">
        <f>IF((B6-G6)=0,0,C6/(B6-G6))</f>
        <v/>
      </c>
    </row>
    <row r="7">
      <c r="A7" s="16" t="inlineStr">
        <is>
          <t>Alex</t>
        </is>
      </c>
      <c r="B7" s="17">
        <f>COUNTA('Alex'!G5:G25)</f>
        <v/>
      </c>
      <c r="C7" s="17">
        <f>COUNTIF('Alex'!G5:G25,"Pass")</f>
        <v/>
      </c>
      <c r="D7" s="17">
        <f>COUNTIF('Alex'!G5:G25,"Fail")</f>
        <v/>
      </c>
      <c r="E7" s="17">
        <f>COUNTIF('Alex'!G5:G25,"Blocked")</f>
        <v/>
      </c>
      <c r="F7" s="17">
        <f>COUNTIF('Alex'!G5:G25,"Not Tested")</f>
        <v/>
      </c>
      <c r="G7" s="17">
        <f>COUNTIF('Alex'!G5:G25,"N/A")</f>
        <v/>
      </c>
      <c r="H7" s="18">
        <f>IF((B7-G7)=0,0,C7/(B7-G7))</f>
        <v/>
      </c>
    </row>
    <row r="8">
      <c r="A8" s="16" t="inlineStr">
        <is>
          <t>Doha</t>
        </is>
      </c>
      <c r="B8" s="17">
        <f>COUNTA('Doha'!G5:G25)</f>
        <v/>
      </c>
      <c r="C8" s="17">
        <f>COUNTIF('Doha'!G5:G25,"Pass")</f>
        <v/>
      </c>
      <c r="D8" s="17">
        <f>COUNTIF('Doha'!G5:G25,"Fail")</f>
        <v/>
      </c>
      <c r="E8" s="17">
        <f>COUNTIF('Doha'!G5:G25,"Blocked")</f>
        <v/>
      </c>
      <c r="F8" s="17">
        <f>COUNTIF('Doha'!G5:G25,"Not Tested")</f>
        <v/>
      </c>
      <c r="G8" s="17">
        <f>COUNTIF('Doha'!G5:G25,"N/A")</f>
        <v/>
      </c>
      <c r="H8" s="18">
        <f>IF((B8-G8)=0,0,C8/(B8-G8))</f>
        <v/>
      </c>
    </row>
    <row r="9">
      <c r="A9" s="16" t="inlineStr">
        <is>
          <t>Jay</t>
        </is>
      </c>
      <c r="B9" s="17">
        <f>COUNTA('Jay'!G5:G25)</f>
        <v/>
      </c>
      <c r="C9" s="17">
        <f>COUNTIF('Jay'!G5:G25,"Pass")</f>
        <v/>
      </c>
      <c r="D9" s="17">
        <f>COUNTIF('Jay'!G5:G25,"Fail")</f>
        <v/>
      </c>
      <c r="E9" s="17">
        <f>COUNTIF('Jay'!G5:G25,"Blocked")</f>
        <v/>
      </c>
      <c r="F9" s="17">
        <f>COUNTIF('Jay'!G5:G25,"Not Tested")</f>
        <v/>
      </c>
      <c r="G9" s="17">
        <f>COUNTIF('Jay'!G5:G25,"N/A")</f>
        <v/>
      </c>
      <c r="H9" s="18">
        <f>IF((B9-G9)=0,0,C9/(B9-G9))</f>
        <v/>
      </c>
    </row>
    <row r="10">
      <c r="A10" s="19" t="inlineStr">
        <is>
          <t>TOTAL</t>
        </is>
      </c>
      <c r="B10" s="20">
        <f>SUM(B5:B9)</f>
        <v/>
      </c>
      <c r="C10" s="20">
        <f>SUM(C5:C9)</f>
        <v/>
      </c>
      <c r="D10" s="20">
        <f>SUM(D5:D9)</f>
        <v/>
      </c>
      <c r="E10" s="20">
        <f>SUM(E5:E9)</f>
        <v/>
      </c>
      <c r="F10" s="20">
        <f>SUM(F5:F9)</f>
        <v/>
      </c>
      <c r="G10" s="20">
        <f>SUM(G5:G9)</f>
        <v/>
      </c>
      <c r="H10" s="21">
        <f>IF((B10-G10)=0,0,C10/(B10-G10))</f>
        <v/>
      </c>
    </row>
    <row r="14">
      <c r="A14" s="3" t="inlineStr">
        <is>
          <t>Priority breakdown (across all owners)</t>
        </is>
      </c>
    </row>
    <row r="15">
      <c r="A15" s="15" t="inlineStr">
        <is>
          <t>Priority</t>
        </is>
      </c>
      <c r="B15" s="15" t="inlineStr">
        <is>
          <t>Total</t>
        </is>
      </c>
      <c r="C15" s="15" t="inlineStr">
        <is>
          <t>Pass</t>
        </is>
      </c>
      <c r="D15" s="15" t="inlineStr">
        <is>
          <t>Fail</t>
        </is>
      </c>
      <c r="E15" s="15" t="inlineStr">
        <is>
          <t>Blocked</t>
        </is>
      </c>
      <c r="F15" s="15" t="inlineStr">
        <is>
          <t>Not Tested</t>
        </is>
      </c>
      <c r="G15" s="15" t="inlineStr">
        <is>
          <t>Pass %</t>
        </is>
      </c>
    </row>
    <row r="16">
      <c r="A16" s="22" t="inlineStr">
        <is>
          <t>P0</t>
        </is>
      </c>
      <c r="B16" s="17">
        <f>COUNTIF('Fredy'!B5:B25,"P0")+COUNTIF('Taty'!B5:B25,"P0")+COUNTIF('Alex'!B5:B25,"P0")+COUNTIF('Doha'!B5:B25,"P0")+COUNTIF('Jay'!B5:B25,"P0")</f>
        <v/>
      </c>
      <c r="C16" s="17">
        <f>COUNTIFS('Fredy'!B5:B25,"P0",'Fredy'!G5:G25,"Pass")+COUNTIFS('Taty'!B5:B25,"P0",'Taty'!G5:G25,"Pass")+COUNTIFS('Alex'!B5:B25,"P0",'Alex'!G5:G25,"Pass")+COUNTIFS('Doha'!B5:B25,"P0",'Doha'!G5:G25,"Pass")+COUNTIFS('Jay'!B5:B25,"P0",'Jay'!G5:G25,"Pass")</f>
        <v/>
      </c>
      <c r="D16" s="17">
        <f>COUNTIFS('Fredy'!B5:B25,"P0",'Fredy'!G5:G25,"Fail")+COUNTIFS('Taty'!B5:B25,"P0",'Taty'!G5:G25,"Fail")+COUNTIFS('Alex'!B5:B25,"P0",'Alex'!G5:G25,"Fail")+COUNTIFS('Doha'!B5:B25,"P0",'Doha'!G5:G25,"Fail")+COUNTIFS('Jay'!B5:B25,"P0",'Jay'!G5:G25,"Fail")</f>
        <v/>
      </c>
      <c r="E16" s="17">
        <f>COUNTIFS('Fredy'!B5:B25,"P0",'Fredy'!G5:G25,"Blocked")+COUNTIFS('Taty'!B5:B25,"P0",'Taty'!G5:G25,"Blocked")+COUNTIFS('Alex'!B5:B25,"P0",'Alex'!G5:G25,"Blocked")+COUNTIFS('Doha'!B5:B25,"P0",'Doha'!G5:G25,"Blocked")+COUNTIFS('Jay'!B5:B25,"P0",'Jay'!G5:G25,"Blocked")</f>
        <v/>
      </c>
      <c r="F16" s="17">
        <f>COUNTIFS('Fredy'!B5:B25,"P0",'Fredy'!G5:G25,"Not Tested")+COUNTIFS('Taty'!B5:B25,"P0",'Taty'!G5:G25,"Not Tested")+COUNTIFS('Alex'!B5:B25,"P0",'Alex'!G5:G25,"Not Tested")+COUNTIFS('Doha'!B5:B25,"P0",'Doha'!G5:G25,"Not Tested")+COUNTIFS('Jay'!B5:B25,"P0",'Jay'!G5:G25,"Not Tested")</f>
        <v/>
      </c>
      <c r="G16" s="18">
        <f>IF((B16-F16)=0,0,C16/(B16-F16))</f>
        <v/>
      </c>
    </row>
    <row r="17">
      <c r="A17" s="23" t="inlineStr">
        <is>
          <t>P1</t>
        </is>
      </c>
      <c r="B17" s="17">
        <f>COUNTIF('Fredy'!B5:B25,"P1")+COUNTIF('Taty'!B5:B25,"P1")+COUNTIF('Alex'!B5:B25,"P1")+COUNTIF('Doha'!B5:B25,"P1")+COUNTIF('Jay'!B5:B25,"P1")</f>
        <v/>
      </c>
      <c r="C17" s="17">
        <f>COUNTIFS('Fredy'!B5:B25,"P1",'Fredy'!G5:G25,"Pass")+COUNTIFS('Taty'!B5:B25,"P1",'Taty'!G5:G25,"Pass")+COUNTIFS('Alex'!B5:B25,"P1",'Alex'!G5:G25,"Pass")+COUNTIFS('Doha'!B5:B25,"P1",'Doha'!G5:G25,"Pass")+COUNTIFS('Jay'!B5:B25,"P1",'Jay'!G5:G25,"Pass")</f>
        <v/>
      </c>
      <c r="D17" s="17">
        <f>COUNTIFS('Fredy'!B5:B25,"P1",'Fredy'!G5:G25,"Fail")+COUNTIFS('Taty'!B5:B25,"P1",'Taty'!G5:G25,"Fail")+COUNTIFS('Alex'!B5:B25,"P1",'Alex'!G5:G25,"Fail")+COUNTIFS('Doha'!B5:B25,"P1",'Doha'!G5:G25,"Fail")+COUNTIFS('Jay'!B5:B25,"P1",'Jay'!G5:G25,"Fail")</f>
        <v/>
      </c>
      <c r="E17" s="17">
        <f>COUNTIFS('Fredy'!B5:B25,"P1",'Fredy'!G5:G25,"Blocked")+COUNTIFS('Taty'!B5:B25,"P1",'Taty'!G5:G25,"Blocked")+COUNTIFS('Alex'!B5:B25,"P1",'Alex'!G5:G25,"Blocked")+COUNTIFS('Doha'!B5:B25,"P1",'Doha'!G5:G25,"Blocked")+COUNTIFS('Jay'!B5:B25,"P1",'Jay'!G5:G25,"Blocked")</f>
        <v/>
      </c>
      <c r="F17" s="17">
        <f>COUNTIFS('Fredy'!B5:B25,"P1",'Fredy'!G5:G25,"Not Tested")+COUNTIFS('Taty'!B5:B25,"P1",'Taty'!G5:G25,"Not Tested")+COUNTIFS('Alex'!B5:B25,"P1",'Alex'!G5:G25,"Not Tested")+COUNTIFS('Doha'!B5:B25,"P1",'Doha'!G5:G25,"Not Tested")+COUNTIFS('Jay'!B5:B25,"P1",'Jay'!G5:G25,"Not Tested")</f>
        <v/>
      </c>
      <c r="G17" s="18">
        <f>IF((B17-F17)=0,0,C17/(B17-F17))</f>
        <v/>
      </c>
    </row>
    <row r="18">
      <c r="A18" s="24" t="inlineStr">
        <is>
          <t>P2</t>
        </is>
      </c>
      <c r="B18" s="17">
        <f>COUNTIF('Fredy'!B5:B25,"P2")+COUNTIF('Taty'!B5:B25,"P2")+COUNTIF('Alex'!B5:B25,"P2")+COUNTIF('Doha'!B5:B25,"P2")+COUNTIF('Jay'!B5:B25,"P2")</f>
        <v/>
      </c>
      <c r="C18" s="17">
        <f>COUNTIFS('Fredy'!B5:B25,"P2",'Fredy'!G5:G25,"Pass")+COUNTIFS('Taty'!B5:B25,"P2",'Taty'!G5:G25,"Pass")+COUNTIFS('Alex'!B5:B25,"P2",'Alex'!G5:G25,"Pass")+COUNTIFS('Doha'!B5:B25,"P2",'Doha'!G5:G25,"Pass")+COUNTIFS('Jay'!B5:B25,"P2",'Jay'!G5:G25,"Pass")</f>
        <v/>
      </c>
      <c r="D18" s="17">
        <f>COUNTIFS('Fredy'!B5:B25,"P2",'Fredy'!G5:G25,"Fail")+COUNTIFS('Taty'!B5:B25,"P2",'Taty'!G5:G25,"Fail")+COUNTIFS('Alex'!B5:B25,"P2",'Alex'!G5:G25,"Fail")+COUNTIFS('Doha'!B5:B25,"P2",'Doha'!G5:G25,"Fail")+COUNTIFS('Jay'!B5:B25,"P2",'Jay'!G5:G25,"Fail")</f>
        <v/>
      </c>
      <c r="E18" s="17">
        <f>COUNTIFS('Fredy'!B5:B25,"P2",'Fredy'!G5:G25,"Blocked")+COUNTIFS('Taty'!B5:B25,"P2",'Taty'!G5:G25,"Blocked")+COUNTIFS('Alex'!B5:B25,"P2",'Alex'!G5:G25,"Blocked")+COUNTIFS('Doha'!B5:B25,"P2",'Doha'!G5:G25,"Blocked")+COUNTIFS('Jay'!B5:B25,"P2",'Jay'!G5:G25,"Blocked")</f>
        <v/>
      </c>
      <c r="F18" s="17">
        <f>COUNTIFS('Fredy'!B5:B25,"P2",'Fredy'!G5:G25,"Not Tested")+COUNTIFS('Taty'!B5:B25,"P2",'Taty'!G5:G25,"Not Tested")+COUNTIFS('Alex'!B5:B25,"P2",'Alex'!G5:G25,"Not Tested")+COUNTIFS('Doha'!B5:B25,"P2",'Doha'!G5:G25,"Not Tested")+COUNTIFS('Jay'!B5:B25,"P2",'Jay'!G5:G25,"Not Tested")</f>
        <v/>
      </c>
      <c r="G18" s="18">
        <f>IF((B18-F18)=0,0,C18/(B18-F18))</f>
        <v/>
      </c>
    </row>
  </sheetData>
  <mergeCells count="3">
    <mergeCell ref="A14:H1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2026-06-27T13:15:12Z</dcterms:created>
  <dcterms:modified xmlns:dcterms="http://purl.org/dc/terms/" xmlns:xsi="http://www.w3.org/2001/XMLSchema-instance" xsi:type="dcterms:W3CDTF">2026-06-27T13:15:12Z</dcterms:modified>
</cp:coreProperties>
</file>